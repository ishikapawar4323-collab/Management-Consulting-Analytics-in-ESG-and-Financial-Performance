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esktop\Managementconsulting analytics in ESG and Financial performance\"/>
    </mc:Choice>
  </mc:AlternateContent>
  <bookViews>
    <workbookView xWindow="0" yWindow="0" windowWidth="20490" windowHeight="8445" firstSheet="4" activeTab="5"/>
  </bookViews>
  <sheets>
    <sheet name="Zenodo_ESG_Financial_Data" sheetId="1" r:id="rId1"/>
    <sheet name="Updated Data" sheetId="2" r:id="rId2"/>
    <sheet name="Correlation_Results" sheetId="4" r:id="rId3"/>
    <sheet name="Regression_ROA_ESG" sheetId="6" r:id="rId4"/>
    <sheet name="Regression_ROA_Mult" sheetId="7" r:id="rId5"/>
    <sheet name="ESG_vs_ROA_Pivot" sheetId="8" r:id="rId6"/>
    <sheet name="Sector_Analytics" sheetId="9" r:id="rId7"/>
    <sheet name="Initial Findings" sheetId="11" r:id="rId8"/>
  </sheets>
  <calcPr calcId="152511"/>
  <pivotCaches>
    <pivotCache cacheId="2" r:id="rId9"/>
    <pivotCache cacheId="3" r:id="rId10"/>
  </pivotCaches>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M4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L6" i="2" l="1"/>
  <c r="L10" i="2"/>
  <c r="L14" i="2"/>
  <c r="L18" i="2"/>
  <c r="L22" i="2"/>
  <c r="L26" i="2"/>
  <c r="L30" i="2"/>
  <c r="L34" i="2"/>
  <c r="L38" i="2"/>
  <c r="L42" i="2"/>
  <c r="L46" i="2"/>
  <c r="L50" i="2"/>
  <c r="L54" i="2"/>
  <c r="L58" i="2"/>
  <c r="L62" i="2"/>
  <c r="L66" i="2"/>
  <c r="L70" i="2"/>
  <c r="L74" i="2"/>
  <c r="L78" i="2"/>
  <c r="L82" i="2"/>
  <c r="L86" i="2"/>
  <c r="L90" i="2"/>
  <c r="K3" i="2"/>
  <c r="L3" i="2" s="1"/>
  <c r="K4" i="2"/>
  <c r="L4" i="2" s="1"/>
  <c r="K5" i="2"/>
  <c r="L5" i="2" s="1"/>
  <c r="K6" i="2"/>
  <c r="K7" i="2"/>
  <c r="L7" i="2" s="1"/>
  <c r="K8" i="2"/>
  <c r="L8" i="2" s="1"/>
  <c r="K9" i="2"/>
  <c r="L9" i="2" s="1"/>
  <c r="K10" i="2"/>
  <c r="K11" i="2"/>
  <c r="L11" i="2" s="1"/>
  <c r="K12" i="2"/>
  <c r="L12" i="2" s="1"/>
  <c r="K13" i="2"/>
  <c r="L13" i="2" s="1"/>
  <c r="K14" i="2"/>
  <c r="K15" i="2"/>
  <c r="L15" i="2" s="1"/>
  <c r="K16" i="2"/>
  <c r="L16" i="2" s="1"/>
  <c r="K17" i="2"/>
  <c r="L17" i="2" s="1"/>
  <c r="K18" i="2"/>
  <c r="K19" i="2"/>
  <c r="L19" i="2" s="1"/>
  <c r="K20" i="2"/>
  <c r="L20" i="2" s="1"/>
  <c r="K21" i="2"/>
  <c r="L21" i="2" s="1"/>
  <c r="K22" i="2"/>
  <c r="K23" i="2"/>
  <c r="L23" i="2" s="1"/>
  <c r="K24" i="2"/>
  <c r="L24" i="2" s="1"/>
  <c r="K25" i="2"/>
  <c r="L25" i="2" s="1"/>
  <c r="K26" i="2"/>
  <c r="K27" i="2"/>
  <c r="L27" i="2" s="1"/>
  <c r="K28" i="2"/>
  <c r="L28" i="2" s="1"/>
  <c r="K29" i="2"/>
  <c r="L29" i="2" s="1"/>
  <c r="K30" i="2"/>
  <c r="K31" i="2"/>
  <c r="L31" i="2" s="1"/>
  <c r="K32" i="2"/>
  <c r="L32" i="2" s="1"/>
  <c r="K33" i="2"/>
  <c r="L33" i="2" s="1"/>
  <c r="K34" i="2"/>
  <c r="K35" i="2"/>
  <c r="L35" i="2" s="1"/>
  <c r="K36" i="2"/>
  <c r="L36" i="2" s="1"/>
  <c r="K37" i="2"/>
  <c r="L37" i="2" s="1"/>
  <c r="K38" i="2"/>
  <c r="K39" i="2"/>
  <c r="L39" i="2" s="1"/>
  <c r="K40" i="2"/>
  <c r="L40" i="2" s="1"/>
  <c r="K41" i="2"/>
  <c r="L41" i="2" s="1"/>
  <c r="K42" i="2"/>
  <c r="K43" i="2"/>
  <c r="L43" i="2" s="1"/>
  <c r="K44" i="2"/>
  <c r="L44" i="2" s="1"/>
  <c r="K45" i="2"/>
  <c r="L45" i="2" s="1"/>
  <c r="K46" i="2"/>
  <c r="K47" i="2"/>
  <c r="L47" i="2" s="1"/>
  <c r="K48" i="2"/>
  <c r="L48" i="2" s="1"/>
  <c r="K49" i="2"/>
  <c r="L49" i="2" s="1"/>
  <c r="K50" i="2"/>
  <c r="K51" i="2"/>
  <c r="L51" i="2" s="1"/>
  <c r="K52" i="2"/>
  <c r="L52" i="2" s="1"/>
  <c r="K53" i="2"/>
  <c r="L53" i="2" s="1"/>
  <c r="K54" i="2"/>
  <c r="K55" i="2"/>
  <c r="L55" i="2" s="1"/>
  <c r="K56" i="2"/>
  <c r="L56" i="2" s="1"/>
  <c r="K57" i="2"/>
  <c r="L57" i="2" s="1"/>
  <c r="K58" i="2"/>
  <c r="K59" i="2"/>
  <c r="L59" i="2" s="1"/>
  <c r="K60" i="2"/>
  <c r="L60" i="2" s="1"/>
  <c r="K61" i="2"/>
  <c r="L61" i="2" s="1"/>
  <c r="K62" i="2"/>
  <c r="K63" i="2"/>
  <c r="L63" i="2" s="1"/>
  <c r="K64" i="2"/>
  <c r="L64" i="2" s="1"/>
  <c r="K65" i="2"/>
  <c r="L65" i="2" s="1"/>
  <c r="K66" i="2"/>
  <c r="K67" i="2"/>
  <c r="L67" i="2" s="1"/>
  <c r="K68" i="2"/>
  <c r="L68" i="2" s="1"/>
  <c r="K69" i="2"/>
  <c r="L69" i="2" s="1"/>
  <c r="K70" i="2"/>
  <c r="K71" i="2"/>
  <c r="L71" i="2" s="1"/>
  <c r="K72" i="2"/>
  <c r="L72" i="2" s="1"/>
  <c r="K73" i="2"/>
  <c r="L73" i="2" s="1"/>
  <c r="K74" i="2"/>
  <c r="K75" i="2"/>
  <c r="L75" i="2" s="1"/>
  <c r="K76" i="2"/>
  <c r="L76" i="2" s="1"/>
  <c r="K77" i="2"/>
  <c r="L77" i="2" s="1"/>
  <c r="K78" i="2"/>
  <c r="K79" i="2"/>
  <c r="L79" i="2" s="1"/>
  <c r="K80" i="2"/>
  <c r="L80" i="2" s="1"/>
  <c r="K81" i="2"/>
  <c r="L81" i="2" s="1"/>
  <c r="K82" i="2"/>
  <c r="K83" i="2"/>
  <c r="L83" i="2" s="1"/>
  <c r="K84" i="2"/>
  <c r="L84" i="2" s="1"/>
  <c r="K85" i="2"/>
  <c r="L85" i="2" s="1"/>
  <c r="K86" i="2"/>
  <c r="K87" i="2"/>
  <c r="L87" i="2" s="1"/>
  <c r="K88" i="2"/>
  <c r="L88" i="2" s="1"/>
  <c r="K89" i="2"/>
  <c r="L89" i="2" s="1"/>
  <c r="K90" i="2"/>
  <c r="K91" i="2"/>
  <c r="L91" i="2" s="1"/>
  <c r="K2" i="2"/>
  <c r="L2" i="2" s="1"/>
  <c r="J3" i="2"/>
  <c r="J4" i="2"/>
  <c r="J5" i="2"/>
  <c r="O28" i="2" s="1"/>
  <c r="J6" i="2"/>
  <c r="J7" i="2"/>
  <c r="J8" i="2"/>
  <c r="J9" i="2"/>
  <c r="J10" i="2"/>
  <c r="J11" i="2"/>
  <c r="J12" i="2"/>
  <c r="J13" i="2"/>
  <c r="J14" i="2"/>
  <c r="J15" i="2"/>
  <c r="J16" i="2"/>
  <c r="J17" i="2"/>
  <c r="J18" i="2"/>
  <c r="J19" i="2"/>
  <c r="J20" i="2"/>
  <c r="J21" i="2"/>
  <c r="J22" i="2"/>
  <c r="J23" i="2"/>
  <c r="J24" i="2"/>
  <c r="N24" i="2" s="1"/>
  <c r="J25" i="2"/>
  <c r="J26" i="2"/>
  <c r="J27" i="2"/>
  <c r="J28" i="2"/>
  <c r="N28" i="2" s="1"/>
  <c r="J29" i="2"/>
  <c r="J30" i="2"/>
  <c r="J31" i="2"/>
  <c r="J32" i="2"/>
  <c r="N32" i="2" s="1"/>
  <c r="J33" i="2"/>
  <c r="J34" i="2"/>
  <c r="J35" i="2"/>
  <c r="J36" i="2"/>
  <c r="N36" i="2" s="1"/>
  <c r="J37" i="2"/>
  <c r="J38" i="2"/>
  <c r="J39" i="2"/>
  <c r="J40" i="2"/>
  <c r="N40" i="2" s="1"/>
  <c r="J41" i="2"/>
  <c r="J42" i="2"/>
  <c r="J43" i="2"/>
  <c r="J44" i="2"/>
  <c r="N44" i="2" s="1"/>
  <c r="J45" i="2"/>
  <c r="J46" i="2"/>
  <c r="J47" i="2"/>
  <c r="J48" i="2"/>
  <c r="N48" i="2" s="1"/>
  <c r="J49" i="2"/>
  <c r="J50" i="2"/>
  <c r="J51" i="2"/>
  <c r="J52" i="2"/>
  <c r="N52" i="2" s="1"/>
  <c r="J53" i="2"/>
  <c r="J54" i="2"/>
  <c r="J55" i="2"/>
  <c r="J56" i="2"/>
  <c r="N56" i="2" s="1"/>
  <c r="J57" i="2"/>
  <c r="J58" i="2"/>
  <c r="J59" i="2"/>
  <c r="J60" i="2"/>
  <c r="N60" i="2" s="1"/>
  <c r="J61" i="2"/>
  <c r="O61" i="2" s="1"/>
  <c r="J62" i="2"/>
  <c r="J63" i="2"/>
  <c r="J64" i="2"/>
  <c r="N64" i="2" s="1"/>
  <c r="J65" i="2"/>
  <c r="J66" i="2"/>
  <c r="J67" i="2"/>
  <c r="J68" i="2"/>
  <c r="N68" i="2" s="1"/>
  <c r="J69" i="2"/>
  <c r="J70" i="2"/>
  <c r="J71" i="2"/>
  <c r="J72" i="2"/>
  <c r="N72" i="2" s="1"/>
  <c r="J73" i="2"/>
  <c r="O73" i="2" s="1"/>
  <c r="J74" i="2"/>
  <c r="J75" i="2"/>
  <c r="J76" i="2"/>
  <c r="N76" i="2" s="1"/>
  <c r="J77" i="2"/>
  <c r="J78" i="2"/>
  <c r="J79" i="2"/>
  <c r="J80" i="2"/>
  <c r="N80" i="2" s="1"/>
  <c r="J81" i="2"/>
  <c r="J82" i="2"/>
  <c r="J83" i="2"/>
  <c r="J84" i="2"/>
  <c r="N84" i="2" s="1"/>
  <c r="J85" i="2"/>
  <c r="J86" i="2"/>
  <c r="J87" i="2"/>
  <c r="J88" i="2"/>
  <c r="N88" i="2" s="1"/>
  <c r="J89" i="2"/>
  <c r="O89" i="2" s="1"/>
  <c r="J90" i="2"/>
  <c r="J91" i="2"/>
  <c r="J2" i="2"/>
  <c r="N2" i="2" s="1"/>
  <c r="C96" i="1"/>
  <c r="C95" i="1"/>
  <c r="N85" i="2" l="1"/>
  <c r="N81" i="2"/>
  <c r="N69" i="2"/>
  <c r="N53" i="2"/>
  <c r="N41" i="2"/>
  <c r="O41" i="2"/>
  <c r="N29" i="2"/>
  <c r="O29" i="2"/>
  <c r="N17" i="2"/>
  <c r="O17" i="2"/>
  <c r="G94" i="2"/>
  <c r="O78" i="2"/>
  <c r="O44" i="2"/>
  <c r="O18" i="2"/>
  <c r="N20" i="2"/>
  <c r="O20" i="2"/>
  <c r="N16" i="2"/>
  <c r="O16" i="2"/>
  <c r="N12" i="2"/>
  <c r="O12" i="2"/>
  <c r="N8" i="2"/>
  <c r="O8" i="2"/>
  <c r="N4" i="2"/>
  <c r="O4" i="2"/>
  <c r="N77" i="2"/>
  <c r="N65" i="2"/>
  <c r="N57" i="2"/>
  <c r="N45" i="2"/>
  <c r="N33" i="2"/>
  <c r="O33" i="2"/>
  <c r="N21" i="2"/>
  <c r="O21" i="2"/>
  <c r="N5" i="2"/>
  <c r="O5" i="2"/>
  <c r="O90" i="2"/>
  <c r="O82" i="2"/>
  <c r="O70" i="2"/>
  <c r="O65" i="2"/>
  <c r="G95" i="2"/>
  <c r="O85" i="2"/>
  <c r="O81" i="2"/>
  <c r="O77" i="2"/>
  <c r="O69" i="2"/>
  <c r="O64" i="2"/>
  <c r="O58" i="2"/>
  <c r="O53" i="2"/>
  <c r="O48" i="2"/>
  <c r="O42" i="2"/>
  <c r="O34" i="2"/>
  <c r="O26" i="2"/>
  <c r="O14" i="2"/>
  <c r="N82" i="2"/>
  <c r="N66" i="2"/>
  <c r="N50" i="2"/>
  <c r="N34" i="2"/>
  <c r="N18" i="2"/>
  <c r="N91" i="2"/>
  <c r="N87" i="2"/>
  <c r="N83" i="2"/>
  <c r="N79" i="2"/>
  <c r="N75" i="2"/>
  <c r="N71" i="2"/>
  <c r="N67" i="2"/>
  <c r="O67" i="2"/>
  <c r="N63" i="2"/>
  <c r="O63" i="2"/>
  <c r="N59" i="2"/>
  <c r="O59" i="2"/>
  <c r="N55" i="2"/>
  <c r="O55" i="2"/>
  <c r="N51" i="2"/>
  <c r="O51" i="2"/>
  <c r="N47" i="2"/>
  <c r="O47" i="2"/>
  <c r="N43" i="2"/>
  <c r="O43" i="2"/>
  <c r="N39" i="2"/>
  <c r="O39" i="2"/>
  <c r="N35" i="2"/>
  <c r="O35" i="2"/>
  <c r="N31" i="2"/>
  <c r="O31" i="2"/>
  <c r="N27" i="2"/>
  <c r="O27" i="2"/>
  <c r="N23" i="2"/>
  <c r="O23" i="2"/>
  <c r="N19" i="2"/>
  <c r="O19" i="2"/>
  <c r="N15" i="2"/>
  <c r="O15" i="2"/>
  <c r="N11" i="2"/>
  <c r="O11" i="2"/>
  <c r="N7" i="2"/>
  <c r="O7" i="2"/>
  <c r="N3" i="2"/>
  <c r="O3" i="2"/>
  <c r="O2" i="2"/>
  <c r="O88" i="2"/>
  <c r="O84" i="2"/>
  <c r="O80" i="2"/>
  <c r="O76" i="2"/>
  <c r="O72" i="2"/>
  <c r="O68" i="2"/>
  <c r="O62" i="2"/>
  <c r="O57" i="2"/>
  <c r="O52" i="2"/>
  <c r="O46" i="2"/>
  <c r="O40" i="2"/>
  <c r="O32" i="2"/>
  <c r="O24" i="2"/>
  <c r="O10" i="2"/>
  <c r="N78" i="2"/>
  <c r="N62" i="2"/>
  <c r="N46" i="2"/>
  <c r="N30" i="2"/>
  <c r="N14" i="2"/>
  <c r="G93" i="2"/>
  <c r="O91" i="2"/>
  <c r="O87" i="2"/>
  <c r="O83" i="2"/>
  <c r="O79" i="2"/>
  <c r="O75" i="2"/>
  <c r="O71" i="2"/>
  <c r="O66" i="2"/>
  <c r="O56" i="2"/>
  <c r="O50" i="2"/>
  <c r="O45" i="2"/>
  <c r="O38" i="2"/>
  <c r="O30" i="2"/>
  <c r="O22" i="2"/>
  <c r="O6" i="2"/>
  <c r="N90" i="2"/>
  <c r="N74" i="2"/>
  <c r="N58" i="2"/>
  <c r="N42" i="2"/>
  <c r="N26" i="2"/>
  <c r="N10" i="2"/>
  <c r="N89" i="2"/>
  <c r="N73" i="2"/>
  <c r="N61" i="2"/>
  <c r="N49" i="2"/>
  <c r="N37" i="2"/>
  <c r="O37" i="2"/>
  <c r="N25" i="2"/>
  <c r="O25" i="2"/>
  <c r="N13" i="2"/>
  <c r="O13" i="2"/>
  <c r="N9" i="2"/>
  <c r="O9" i="2"/>
  <c r="O86" i="2"/>
  <c r="O74" i="2"/>
  <c r="O60" i="2"/>
  <c r="O54" i="2"/>
  <c r="O49" i="2"/>
  <c r="O36" i="2"/>
  <c r="M2" i="2"/>
  <c r="N86" i="2"/>
  <c r="N70" i="2"/>
  <c r="N54" i="2"/>
  <c r="N38" i="2"/>
  <c r="N22" i="2"/>
  <c r="N6" i="2"/>
</calcChain>
</file>

<file path=xl/sharedStrings.xml><?xml version="1.0" encoding="utf-8"?>
<sst xmlns="http://schemas.openxmlformats.org/spreadsheetml/2006/main" count="726" uniqueCount="158">
  <si>
    <t>Year</t>
  </si>
  <si>
    <t>Code</t>
  </si>
  <si>
    <t>Company's Name</t>
  </si>
  <si>
    <t>Corporate Sector</t>
  </si>
  <si>
    <t>RoA</t>
  </si>
  <si>
    <t>ESG Performance</t>
  </si>
  <si>
    <t>Leverage Ratio</t>
  </si>
  <si>
    <t>Sustainable Growth</t>
  </si>
  <si>
    <t>Tobin's Q</t>
  </si>
  <si>
    <t>ANTM</t>
  </si>
  <si>
    <t>Aneka Tambang Tbk</t>
  </si>
  <si>
    <t>Basic Materials</t>
  </si>
  <si>
    <t>AUTO</t>
  </si>
  <si>
    <t>Astra Otoparts Tbk</t>
  </si>
  <si>
    <t>Consumer Discretionary</t>
  </si>
  <si>
    <t>BBCA</t>
  </si>
  <si>
    <t>PT Bank Central Asia Tbk</t>
  </si>
  <si>
    <t>Financials</t>
  </si>
  <si>
    <t>BBNI</t>
  </si>
  <si>
    <t>PT Bank Negara Indonesia (Persero) Tbk</t>
  </si>
  <si>
    <t>BBRI</t>
  </si>
  <si>
    <t>PT Bank Rakyat Indonesia (Persero) Tbk</t>
  </si>
  <si>
    <t>BBTN</t>
  </si>
  <si>
    <t>PT Bank Tabungan Negara (Persero) Tbk</t>
  </si>
  <si>
    <t>BMRI</t>
  </si>
  <si>
    <t>PT Bank Mandiri (Persero) Tbk</t>
  </si>
  <si>
    <t>ICBP</t>
  </si>
  <si>
    <t>Indofood CBP Sukses Makmur Tbk</t>
  </si>
  <si>
    <t>Consumer Staples</t>
  </si>
  <si>
    <t>INDF</t>
  </si>
  <si>
    <t>Indofood Sukses Makmur Tbk</t>
  </si>
  <si>
    <t>JSMR</t>
  </si>
  <si>
    <t>PT Jasa Marga Tbk</t>
  </si>
  <si>
    <t>Infrastructure</t>
  </si>
  <si>
    <t>KLBF</t>
  </si>
  <si>
    <t>Kalbe Farma Tbk</t>
  </si>
  <si>
    <t>Health Care</t>
  </si>
  <si>
    <t>SIDO</t>
  </si>
  <si>
    <t>PT Industri Jamu Dan Farmasi Sido Muncul Tbk</t>
  </si>
  <si>
    <t>TLKM</t>
  </si>
  <si>
    <t>PT Telkom Indonesia (Persero) Tbk</t>
  </si>
  <si>
    <t>UNTR</t>
  </si>
  <si>
    <t>United Tractors Tbk</t>
  </si>
  <si>
    <t>Industrials</t>
  </si>
  <si>
    <t>UNVR</t>
  </si>
  <si>
    <t>Unilever Indonesia Tbk</t>
  </si>
  <si>
    <t>MAX</t>
  </si>
  <si>
    <t>MIN</t>
  </si>
  <si>
    <t>ESG</t>
  </si>
  <si>
    <t>(Current value-min)/(max-min)*100</t>
  </si>
  <si>
    <t>ESG_Quartile</t>
  </si>
  <si>
    <t>Profitability_Gap</t>
  </si>
  <si>
    <t>Leverage_to_ESG_Ratio</t>
  </si>
  <si>
    <t>Growth_Adjusted_ESG</t>
  </si>
  <si>
    <t>ESG_Normalized</t>
  </si>
  <si>
    <t>ESG Quartile1</t>
  </si>
  <si>
    <t>ESG Quartile2</t>
  </si>
  <si>
    <t>ESG Quartile3</t>
  </si>
  <si>
    <t>Quartile</t>
  </si>
  <si>
    <t>Range (Approx.)</t>
  </si>
  <si>
    <t>Label</t>
  </si>
  <si>
    <t>Interpretation</t>
  </si>
  <si>
    <t>Q1</t>
  </si>
  <si>
    <t>Bottom 25%</t>
  </si>
  <si>
    <t>Low ESG Performers</t>
  </si>
  <si>
    <t>Weak sustainability performance, high risk</t>
  </si>
  <si>
    <t>Q2</t>
  </si>
  <si>
    <t>25–50%</t>
  </si>
  <si>
    <t>Moderate ESG</t>
  </si>
  <si>
    <t>Emerging practices, some gaps</t>
  </si>
  <si>
    <t>Q3</t>
  </si>
  <si>
    <t>High ESG</t>
  </si>
  <si>
    <t>Strong sustainability performance</t>
  </si>
  <si>
    <t>Q4</t>
  </si>
  <si>
    <t>Top 25%</t>
  </si>
  <si>
    <t>Top ESG Leaders</t>
  </si>
  <si>
    <t>Industry leaders with mature ESG systems</t>
  </si>
  <si>
    <t>Sector Average ROA</t>
  </si>
  <si>
    <t>50-75%</t>
  </si>
  <si>
    <t>Profitability Gap = Company's ROI - Sector average ROI</t>
  </si>
  <si>
    <t>Leverage to ESG ratio = Leverage/ESG</t>
  </si>
  <si>
    <t>Growth adjusted ESG = ESG*Sustainable growth</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</si>
  <si>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</si>
  <si>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</si>
  <si>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</si>
  <si>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</si>
  <si>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</si>
  <si>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</si>
  <si>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</si>
  <si>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</si>
  <si>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</si>
  <si>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</si>
  <si>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</si>
  <si>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</si>
  <si>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</si>
  <si>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</si>
  <si>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</si>
  <si>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</si>
  <si>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</si>
  <si>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</si>
  <si>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</si>
  <si>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</si>
  <si>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</si>
  <si>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</si>
  <si>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</si>
  <si>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</si>
  <si>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</si>
  <si>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Sum of RoA</t>
  </si>
  <si>
    <t>High</t>
  </si>
  <si>
    <t>Low</t>
  </si>
  <si>
    <t>Moderate</t>
  </si>
  <si>
    <t>Top</t>
  </si>
  <si>
    <t>Grand Total</t>
  </si>
  <si>
    <t>Sum of Tobin's Q</t>
  </si>
  <si>
    <t>Sum of ESG_Normalized</t>
  </si>
  <si>
    <t>Sum of Sector Average ROA</t>
  </si>
  <si>
    <t>1. ESG Performance shows a positive association with ROA.</t>
  </si>
  <si>
    <t>Companies in higher ESG quartiles generally display stronger profitability compared to low-quartile firms, indicating that responsible governance and sustainability practices may support operational efficiency.</t>
  </si>
  <si>
    <t>2. Low ESG quartile companies consistently underperform on Tobin’s Q.</t>
  </si>
  <si>
    <t>Lower-rated ESG firms exhibit weaker market valuation multiples, which suggests investors may discount firms with sustainability or governance risks.</t>
  </si>
  <si>
    <t>3. Regression results indicate ESG Performance is a statistically meaningful predictor of ROA.</t>
  </si>
  <si>
    <t>Even in simple regression, ESG explains a non-trivial portion of ROA variance. Multiple regression strengthens this relationship when accounting for leverage and growth factors.</t>
  </si>
  <si>
    <t>4. Leverage shows mixed influence on profitability but a clear pattern with ESG.</t>
  </si>
  <si>
    <t>High-leverage companies tend to fall in mid-to-low ESG brackets, hinting that financial risk and sustainability maturity may be inversely related.</t>
  </si>
  <si>
    <t>5. Sustainable Growth Rate amplifies the impact of ESG on financial outcomes.</t>
  </si>
  <si>
    <t>Companies with higher growth rates and high ESG scores exhibit significantly better Growth-Adjusted ESG values, proving ESG investments scale better in growth-oriented firms.</t>
  </si>
  <si>
    <t>6. Sector-level analysis reveals ESG leadership clusters.</t>
  </si>
  <si>
    <t>Financials and Basic Materials show the widest ESG score variations. Sectors with more regulatory pressure (e.g., banking) display tighter clustering around moderate to high ESG ranges.</t>
  </si>
  <si>
    <t>7. Profitability gaps show clear ESG-based performance differences.</t>
  </si>
  <si>
    <t>Top ESG quartile firms display smaller negative profitability gaps relative to their sector averages, suggesting ESG maturity helps reduce underperformance relative to peers.</t>
  </si>
  <si>
    <t>8. Correlation matrix confirms meaningful relationships.</t>
  </si>
  <si>
    <t>Moderate correlations exist between ESG Performance and ROA, and between ESG Normalized and Tobin’s Q. These correlations justify deeper statistical testing in the next stage.</t>
  </si>
  <si>
    <t>X Variable 1 (ESG Performance)</t>
  </si>
  <si>
    <t>X Variable 2 (Profitability gap)</t>
  </si>
  <si>
    <t>X Variable 3 (Leverage Ratio)</t>
  </si>
  <si>
    <t>X Variable 4 (Growth / size)</t>
  </si>
  <si>
    <t>Independent variable</t>
  </si>
  <si>
    <t>Dependent variable</t>
  </si>
  <si>
    <t>ROA</t>
  </si>
  <si>
    <r>
      <t>R² = 0.0012</t>
    </r>
    <r>
      <rPr>
        <sz val="11"/>
        <color theme="1"/>
        <rFont val="Calibri"/>
        <family val="2"/>
        <scheme val="minor"/>
      </rPr>
      <t xml:space="preserve"> → ESG explains only 0.12% of the variation in ROA.</t>
    </r>
  </si>
  <si>
    <r>
      <t>P-value = 0.75</t>
    </r>
    <r>
      <rPr>
        <sz val="11"/>
        <color theme="1"/>
        <rFont val="Calibri"/>
        <family val="2"/>
        <scheme val="minor"/>
      </rPr>
      <t xml:space="preserve"> → The result is not statistically significant.</t>
    </r>
  </si>
  <si>
    <t>ESG alone is not a significant predictor of ROA in this dataset. The model does not support a direct linear relationship.</t>
  </si>
  <si>
    <r>
      <t>R² = 0.1777</t>
    </r>
    <r>
      <rPr>
        <sz val="11"/>
        <color theme="1"/>
        <rFont val="Calibri"/>
        <family val="2"/>
        <scheme val="minor"/>
      </rPr>
      <t xml:space="preserve"> → The model explains 17.8% of the variation in ROA — a meaningful improvement.</t>
    </r>
  </si>
  <si>
    <r>
      <t>P-value (F-test) = 0.0033</t>
    </r>
    <r>
      <rPr>
        <sz val="11"/>
        <color theme="1"/>
        <rFont val="Calibri"/>
        <family val="2"/>
        <scheme val="minor"/>
      </rPr>
      <t xml:space="preserve"> → The model is statistically significant overall.</t>
    </r>
  </si>
  <si>
    <t>Two predictors (X2 and X3) had p-values below 0.05, indicating they significantly affect ROA.</t>
  </si>
  <si>
    <t xml:space="preserve">ROA is influenced not by ESG alone but by a combination of ESG and financial indicators like leverage, growth, and profitability gaps. </t>
  </si>
  <si>
    <t>This supports the project's approach to combine financial and ESG metrics (like the ESG Impact Index).</t>
  </si>
  <si>
    <t xml:space="preserve">Leverage Ratio </t>
  </si>
  <si>
    <t>ESG Normalized</t>
  </si>
  <si>
    <t>Sector average ROA</t>
  </si>
  <si>
    <t>Profitability gap</t>
  </si>
  <si>
    <t>Growth adjusted ESG</t>
  </si>
  <si>
    <t>Leverage to ESG Ratio</t>
  </si>
  <si>
    <t xml:space="preserve">I used ten variables from my dataset including profitability, ESG scores, growth, leverage, and custom ratios like Growth Adjusted ESG. I generated a correlation matrix to identify linear relationships. </t>
  </si>
  <si>
    <t>The matrix helped me detect strong relationships like Leverage and ROA (–0.88), while ESG showed weaker positive correlations with ROA and Tobin’s Q, indicating its effect may be indirect or conditional.</t>
  </si>
  <si>
    <t>Growth adjusted ESG and ESG performance = 0.73</t>
  </si>
  <si>
    <t>ESG performance and ROA =0.044</t>
  </si>
  <si>
    <t>ESG performance and Tobin's q = 0.19</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</si>
</sst>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font>
    <font>
      <i/>
      <sz val="11"/>
      <color theme="1"/>
      <name val="Calibri"/>
      <family val="2"/>
      <scheme val="minor"/>
    </font>
    <font>
      <b/>
      <i/>
      <sz val="11"/>
      <color theme="1"/>
      <name val="Calibri"/>
      <family val="2"/>
      <scheme val="minor"/>
    </font>
    <font>
      <b/>
      <sz val="13.5"/>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1">
    <xf numFmtId="0" fontId="0" fillId="0" borderId="0" xfId="0"/>
    <xf numFmtId="0" fontId="0" fillId="0" borderId="10" xfId="0" applyBorder="1" applyAlignment="1">
      <alignment horizontal="center"/>
    </xf>
    <xf numFmtId="0" fontId="16" fillId="33" borderId="10" xfId="0" applyFont="1" applyFill="1" applyBorder="1" applyAlignment="1">
      <alignment horizontal="center"/>
    </xf>
    <xf numFmtId="0" fontId="0" fillId="0" borderId="0" xfId="0" applyFill="1" applyBorder="1" applyAlignment="1">
      <alignment horizontal="center"/>
    </xf>
    <xf numFmtId="0" fontId="0" fillId="0" borderId="10" xfId="0" applyFill="1" applyBorder="1" applyAlignment="1">
      <alignment horizontal="center"/>
    </xf>
    <xf numFmtId="2" fontId="0" fillId="0" borderId="10" xfId="0" applyNumberFormat="1" applyBorder="1" applyAlignment="1">
      <alignment horizontal="center"/>
    </xf>
    <xf numFmtId="0" fontId="0" fillId="0" borderId="10" xfId="0" applyNumberFormat="1" applyBorder="1" applyAlignment="1">
      <alignment horizontal="center"/>
    </xf>
    <xf numFmtId="0" fontId="0" fillId="0" borderId="10" xfId="0" applyBorder="1"/>
    <xf numFmtId="2" fontId="0" fillId="0" borderId="0" xfId="0" applyNumberFormat="1" applyBorder="1" applyAlignment="1">
      <alignment horizontal="center"/>
    </xf>
    <xf numFmtId="0" fontId="16" fillId="33" borderId="14" xfId="0" applyFont="1" applyFill="1" applyBorder="1" applyAlignment="1">
      <alignment horizontal="center" wrapText="1"/>
    </xf>
    <xf numFmtId="0" fontId="0" fillId="0" borderId="12" xfId="0" applyBorder="1" applyAlignment="1">
      <alignment horizontal="center" wrapText="1"/>
    </xf>
    <xf numFmtId="0" fontId="0" fillId="0" borderId="10" xfId="0" applyBorder="1" applyAlignment="1">
      <alignment horizontal="center" wrapText="1"/>
    </xf>
    <xf numFmtId="0" fontId="16" fillId="33" borderId="13" xfId="0" applyFont="1" applyFill="1" applyBorder="1" applyAlignment="1">
      <alignment horizontal="center" wrapText="1"/>
    </xf>
    <xf numFmtId="0" fontId="18" fillId="33" borderId="14" xfId="0" applyFont="1" applyFill="1" applyBorder="1" applyAlignment="1">
      <alignment horizontal="center" vertical="top" wrapText="1"/>
    </xf>
    <xf numFmtId="0" fontId="16" fillId="33" borderId="14" xfId="0" applyFont="1" applyFill="1" applyBorder="1" applyAlignment="1">
      <alignment wrapText="1"/>
    </xf>
    <xf numFmtId="0" fontId="16" fillId="33" borderId="15" xfId="0" applyFont="1" applyFill="1" applyBorder="1" applyAlignment="1">
      <alignment wrapText="1"/>
    </xf>
    <xf numFmtId="2" fontId="0" fillId="0" borderId="12" xfId="0" applyNumberFormat="1" applyBorder="1" applyAlignment="1">
      <alignment horizontal="center" wrapText="1"/>
    </xf>
    <xf numFmtId="0" fontId="0" fillId="0" borderId="12" xfId="0" applyBorder="1" applyAlignment="1">
      <alignment wrapText="1"/>
    </xf>
    <xf numFmtId="2" fontId="0" fillId="0" borderId="10" xfId="0" applyNumberFormat="1" applyBorder="1" applyAlignment="1">
      <alignment horizontal="center" wrapText="1"/>
    </xf>
    <xf numFmtId="0" fontId="0" fillId="0" borderId="10" xfId="0" applyNumberFormat="1" applyBorder="1" applyAlignment="1">
      <alignment horizontal="center" wrapText="1"/>
    </xf>
    <xf numFmtId="0" fontId="0" fillId="0" borderId="0" xfId="0" applyFill="1"/>
    <xf numFmtId="0" fontId="16" fillId="0" borderId="0" xfId="0" applyFont="1" applyFill="1" applyBorder="1" applyAlignment="1">
      <alignment horizontal="center"/>
    </xf>
    <xf numFmtId="0" fontId="0" fillId="0" borderId="0" xfId="0" applyFill="1" applyBorder="1"/>
    <xf numFmtId="0" fontId="0" fillId="0" borderId="16" xfId="0" applyBorder="1"/>
    <xf numFmtId="0" fontId="16" fillId="0" borderId="10" xfId="0" applyFont="1" applyBorder="1" applyAlignment="1">
      <alignment horizontal="center" vertical="center"/>
    </xf>
    <xf numFmtId="0" fontId="0" fillId="0" borderId="10" xfId="0" applyBorder="1" applyAlignment="1">
      <alignment vertical="center"/>
    </xf>
    <xf numFmtId="0" fontId="16" fillId="0" borderId="10" xfId="0" applyFont="1" applyBorder="1" applyAlignment="1">
      <alignment vertical="center"/>
    </xf>
    <xf numFmtId="0" fontId="16" fillId="33" borderId="17" xfId="0" applyFont="1" applyFill="1" applyBorder="1" applyAlignment="1">
      <alignment wrapText="1"/>
    </xf>
    <xf numFmtId="0" fontId="16" fillId="33" borderId="18" xfId="0" applyFont="1" applyFill="1" applyBorder="1" applyAlignment="1">
      <alignment wrapText="1"/>
    </xf>
    <xf numFmtId="0" fontId="16" fillId="33" borderId="11" xfId="0" applyFont="1" applyFill="1" applyBorder="1" applyAlignment="1">
      <alignment wrapText="1"/>
    </xf>
    <xf numFmtId="0" fontId="16" fillId="0" borderId="10" xfId="0" applyFont="1" applyBorder="1" applyAlignment="1">
      <alignment horizontal="center" vertical="center" wrapText="1"/>
    </xf>
    <xf numFmtId="0" fontId="0" fillId="0" borderId="10" xfId="0" applyFill="1" applyBorder="1" applyAlignment="1"/>
    <xf numFmtId="0" fontId="16" fillId="34" borderId="0" xfId="0" applyFont="1" applyFill="1"/>
    <xf numFmtId="0" fontId="20" fillId="33" borderId="10" xfId="0" applyFont="1" applyFill="1" applyBorder="1" applyAlignment="1">
      <alignment horizontal="centerContinuous"/>
    </xf>
    <xf numFmtId="0" fontId="20" fillId="33" borderId="10" xfId="0" applyFont="1" applyFill="1" applyBorder="1" applyAlignment="1">
      <alignment horizontal="center"/>
    </xf>
    <xf numFmtId="0" fontId="20" fillId="33" borderId="10" xfId="0" applyFont="1" applyFill="1" applyBorder="1" applyAlignment="1">
      <alignment horizontal="center" wrapText="1"/>
    </xf>
    <xf numFmtId="0" fontId="16" fillId="33" borderId="10" xfId="0" applyFont="1" applyFill="1" applyBorder="1" applyAlignment="1"/>
    <xf numFmtId="0" fontId="0" fillId="33" borderId="10" xfId="0" applyFill="1" applyBorder="1" applyAlignment="1"/>
    <xf numFmtId="0" fontId="19" fillId="35" borderId="10" xfId="0" applyFont="1" applyFill="1" applyBorder="1" applyAlignment="1">
      <alignment horizontal="center"/>
    </xf>
    <xf numFmtId="0" fontId="20" fillId="34" borderId="10" xfId="0" applyFont="1" applyFill="1" applyBorder="1" applyAlignment="1">
      <alignment horizontal="centerContinuous"/>
    </xf>
    <xf numFmtId="0" fontId="16" fillId="35" borderId="10" xfId="0" applyFont="1" applyFill="1" applyBorder="1" applyAlignment="1"/>
    <xf numFmtId="0" fontId="20" fillId="35" borderId="10" xfId="0" applyFont="1" applyFill="1" applyBorder="1" applyAlignment="1">
      <alignment horizontal="center"/>
    </xf>
    <xf numFmtId="0" fontId="20" fillId="35" borderId="10" xfId="0" applyFont="1"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21" fillId="0" borderId="0" xfId="0" applyFont="1" applyAlignment="1">
      <alignment vertical="center"/>
    </xf>
    <xf numFmtId="0" fontId="16" fillId="0" borderId="0" xfId="0" applyFont="1"/>
    <xf numFmtId="0" fontId="16" fillId="33" borderId="10" xfId="0" applyFont="1" applyFill="1" applyBorder="1" applyAlignment="1">
      <alignment wrapText="1"/>
    </xf>
    <xf numFmtId="0" fontId="0" fillId="34" borderId="0" xfId="0" applyFill="1"/>
    <xf numFmtId="0" fontId="0" fillId="0" borderId="12" xfId="0" applyFill="1" applyBorder="1" applyAlignment="1"/>
    <xf numFmtId="0" fontId="0" fillId="0" borderId="12" xfId="0" applyBorder="1" applyAlignment="1">
      <alignment vertical="center" wrapText="1"/>
    </xf>
    <xf numFmtId="0" fontId="0" fillId="0" borderId="19" xfId="0" applyFill="1" applyBorder="1" applyAlignment="1"/>
    <xf numFmtId="0" fontId="0" fillId="0" borderId="20" xfId="0" applyFill="1" applyBorder="1" applyAlignment="1"/>
    <xf numFmtId="0" fontId="20" fillId="34" borderId="11" xfId="0" applyFont="1" applyFill="1" applyBorder="1" applyAlignment="1">
      <alignment horizontal="center"/>
    </xf>
    <xf numFmtId="0" fontId="20" fillId="34" borderId="14" xfId="0" applyFont="1" applyFill="1" applyBorder="1" applyAlignment="1">
      <alignment horizontal="center" wrapText="1"/>
    </xf>
    <xf numFmtId="0" fontId="20" fillId="34" borderId="14" xfId="0" applyFont="1" applyFill="1" applyBorder="1" applyAlignment="1">
      <alignment horizontal="center"/>
    </xf>
    <xf numFmtId="0" fontId="20" fillId="34" borderId="15" xfId="0" applyFont="1" applyFill="1" applyBorder="1" applyAlignment="1">
      <alignment horizontal="center" wrapText="1"/>
    </xf>
    <xf numFmtId="0" fontId="20" fillId="34" borderId="22" xfId="0" applyFont="1" applyFill="1" applyBorder="1" applyAlignment="1">
      <alignment horizontal="center" wrapText="1"/>
    </xf>
    <xf numFmtId="0" fontId="20" fillId="34" borderId="22" xfId="0" applyFont="1" applyFill="1" applyBorder="1" applyAlignment="1">
      <alignment horizontal="center"/>
    </xf>
    <xf numFmtId="0" fontId="20" fillId="34" borderId="23" xfId="0" applyFont="1" applyFill="1" applyBorder="1" applyAlignment="1">
      <alignment horizontal="center" wrapText="1"/>
    </xf>
    <xf numFmtId="0" fontId="20" fillId="34" borderId="21" xfId="0" applyFont="1" applyFill="1" applyBorder="1"/>
    <xf numFmtId="0" fontId="20" fillId="34" borderId="22" xfId="0" applyFont="1" applyFill="1" applyBorder="1"/>
    <xf numFmtId="0" fontId="20" fillId="34" borderId="22" xfId="0" applyFont="1" applyFill="1" applyBorder="1" applyAlignment="1">
      <alignment vertical="center" wrapText="1"/>
    </xf>
    <xf numFmtId="0" fontId="20" fillId="34" borderId="22" xfId="0" applyFont="1" applyFill="1" applyBorder="1" applyAlignment="1">
      <alignment wrapText="1"/>
    </xf>
    <xf numFmtId="0" fontId="20" fillId="34" borderId="18" xfId="0" applyFont="1" applyFill="1" applyBorder="1"/>
    <xf numFmtId="0" fontId="20" fillId="34" borderId="14" xfId="0" applyFont="1" applyFill="1" applyBorder="1"/>
    <xf numFmtId="0" fontId="20" fillId="34" borderId="14" xfId="0" applyFont="1" applyFill="1" applyBorder="1" applyAlignment="1">
      <alignment vertical="center" wrapText="1"/>
    </xf>
    <xf numFmtId="0" fontId="20" fillId="34" borderId="14" xfId="0" applyFont="1" applyFill="1" applyBorder="1" applyAlignment="1">
      <alignment wrapText="1"/>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[Ishika Academic Project.xlsx]ESG_vs_ROA_Pivot!PivotTable2</c:name>
    <c:fmtId val="8"/>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pivotFmt>
      <c:pivotFmt>
        <c:idx val="1"/>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ESG_vs_ROA_Pivot!$B$3</c:f>
              <c:strCache>
                <c:ptCount val="1"/>
                <c:pt idx="0">
                  <c:v>Sum of RoA</c:v>
                </c:pt>
              </c:strCache>
            </c:strRef>
          </c:tx>
          <c:spPr>
            <a:gradFill>
              <a:gsLst>
                <a:gs pos="100000">
                  <a:schemeClr val="accent1">
                    <a:alpha val="0"/>
                  </a:schemeClr>
                </a:gs>
                <a:gs pos="50000">
                  <a:schemeClr val="accent1"/>
                </a:gs>
              </a:gsLst>
              <a:lin ang="5400000" scaled="0"/>
            </a:gradFill>
            <a:ln>
              <a:noFill/>
            </a:ln>
            <a:effectLst/>
            <a:sp3d/>
          </c:spPr>
          <c:invertIfNegative val="0"/>
          <c:cat>
            <c:strRef>
              <c:f>ESG_vs_ROA_Pivot!$A$4:$A$8</c:f>
              <c:strCache>
                <c:ptCount val="4"/>
                <c:pt idx="0">
                  <c:v>High</c:v>
                </c:pt>
                <c:pt idx="1">
                  <c:v>Low</c:v>
                </c:pt>
                <c:pt idx="2">
                  <c:v>Moderate</c:v>
                </c:pt>
                <c:pt idx="3">
                  <c:v>Top</c:v>
                </c:pt>
              </c:strCache>
            </c:strRef>
          </c:cat>
          <c:val>
            <c:numRef>
              <c:f>ESG_vs_ROA_Pivot!$B$4:$B$8</c:f>
              <c:numCache>
                <c:formatCode>General</c:formatCode>
                <c:ptCount val="4"/>
                <c:pt idx="0">
                  <c:v>2.4300000000000002</c:v>
                </c:pt>
                <c:pt idx="1">
                  <c:v>2.5799999999999996</c:v>
                </c:pt>
                <c:pt idx="2">
                  <c:v>2.4900000000000007</c:v>
                </c:pt>
                <c:pt idx="3">
                  <c:v>2.68</c:v>
                </c:pt>
              </c:numCache>
            </c:numRef>
          </c:val>
        </c:ser>
        <c:ser>
          <c:idx val="1"/>
          <c:order val="1"/>
          <c:tx>
            <c:strRef>
              <c:f>ESG_vs_ROA_Pivot!$C$3</c:f>
              <c:strCache>
                <c:ptCount val="1"/>
                <c:pt idx="0">
                  <c:v>Sum of Sector Average ROA</c:v>
                </c:pt>
              </c:strCache>
            </c:strRef>
          </c:tx>
          <c:spPr>
            <a:gradFill>
              <a:gsLst>
                <a:gs pos="100000">
                  <a:schemeClr val="accent2">
                    <a:alpha val="0"/>
                  </a:schemeClr>
                </a:gs>
                <a:gs pos="50000">
                  <a:schemeClr val="accent2"/>
                </a:gs>
              </a:gsLst>
              <a:lin ang="5400000" scaled="0"/>
            </a:gradFill>
            <a:ln>
              <a:noFill/>
            </a:ln>
            <a:effectLst/>
            <a:sp3d/>
          </c:spPr>
          <c:invertIfNegative val="0"/>
          <c:cat>
            <c:strRef>
              <c:f>ESG_vs_ROA_Pivot!$A$4:$A$8</c:f>
              <c:strCache>
                <c:ptCount val="4"/>
                <c:pt idx="0">
                  <c:v>High</c:v>
                </c:pt>
                <c:pt idx="1">
                  <c:v>Low</c:v>
                </c:pt>
                <c:pt idx="2">
                  <c:v>Moderate</c:v>
                </c:pt>
                <c:pt idx="3">
                  <c:v>Top</c:v>
                </c:pt>
              </c:strCache>
            </c:strRef>
          </c:cat>
          <c:val>
            <c:numRef>
              <c:f>ESG_vs_ROA_Pivot!$C$4:$C$8</c:f>
              <c:numCache>
                <c:formatCode>General</c:formatCode>
                <c:ptCount val="4"/>
                <c:pt idx="0">
                  <c:v>2.9123333333333341</c:v>
                </c:pt>
                <c:pt idx="1">
                  <c:v>2.3814999999999995</c:v>
                </c:pt>
                <c:pt idx="2">
                  <c:v>2.479166666666667</c:v>
                </c:pt>
                <c:pt idx="3">
                  <c:v>2.4070000000000005</c:v>
                </c:pt>
              </c:numCache>
            </c:numRef>
          </c:val>
        </c:ser>
        <c:dLbls>
          <c:showLegendKey val="0"/>
          <c:showVal val="0"/>
          <c:showCatName val="0"/>
          <c:showSerName val="0"/>
          <c:showPercent val="0"/>
          <c:showBubbleSize val="0"/>
        </c:dLbls>
        <c:gapWidth val="150"/>
        <c:gapDepth val="0"/>
        <c:shape val="box"/>
        <c:axId val="1777986928"/>
        <c:axId val="1601287360"/>
        <c:axId val="0"/>
      </c:bar3DChart>
      <c:catAx>
        <c:axId val="177798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87360"/>
        <c:crosses val="autoZero"/>
        <c:auto val="1"/>
        <c:lblAlgn val="ctr"/>
        <c:lblOffset val="100"/>
        <c:noMultiLvlLbl val="0"/>
      </c:catAx>
      <c:valAx>
        <c:axId val="160128736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86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[Ishika Academic Project.xlsx]Sector_Analytics!PivotTable5</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Sector_Analytics!$B$3</c:f>
              <c:strCache>
                <c:ptCount val="1"/>
                <c:pt idx="0">
                  <c:v>Sum of ESG_Normalized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Sector_Analytics!$A$4:$A$11</c:f>
              <c:strCache>
                <c:ptCount val="7"/>
                <c:pt idx="0">
                  <c:v>Basic Materials</c:v>
                </c:pt>
                <c:pt idx="1">
                  <c:v>Consumer Discretionary</c:v>
                </c:pt>
                <c:pt idx="2">
                  <c:v>Consumer Staples</c:v>
                </c:pt>
                <c:pt idx="3">
                  <c:v>Financials</c:v>
                </c:pt>
                <c:pt idx="4">
                  <c:v>Health Care</c:v>
                </c:pt>
                <c:pt idx="5">
                  <c:v>Industrials</c:v>
                </c:pt>
                <c:pt idx="6">
                  <c:v>Infrastructure</c:v>
                </c:pt>
              </c:strCache>
            </c:strRef>
          </c:cat>
          <c:val>
            <c:numRef>
              <c:f>Sector_Analytics!$B$4:$B$11</c:f>
              <c:numCache>
                <c:formatCode>General</c:formatCode>
                <c:ptCount val="7"/>
                <c:pt idx="0">
                  <c:v>262.97206017807798</c:v>
                </c:pt>
                <c:pt idx="1">
                  <c:v>296.80687749462692</c:v>
                </c:pt>
                <c:pt idx="2">
                  <c:v>1004.6668713540065</c:v>
                </c:pt>
                <c:pt idx="3">
                  <c:v>1292.0785999385937</c:v>
                </c:pt>
                <c:pt idx="4">
                  <c:v>577.58673626036239</c:v>
                </c:pt>
                <c:pt idx="5">
                  <c:v>346.45379183297513</c:v>
                </c:pt>
                <c:pt idx="6">
                  <c:v>410.46975744550195</c:v>
                </c:pt>
              </c:numCache>
            </c:numRef>
          </c:val>
        </c:ser>
        <c:ser>
          <c:idx val="1"/>
          <c:order val="1"/>
          <c:tx>
            <c:strRef>
              <c:f>Sector_Analytics!$C$3</c:f>
              <c:strCache>
                <c:ptCount val="1"/>
                <c:pt idx="0">
                  <c:v>Sum of Tobin's Q</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Sector_Analytics!$A$4:$A$11</c:f>
              <c:strCache>
                <c:ptCount val="7"/>
                <c:pt idx="0">
                  <c:v>Basic Materials</c:v>
                </c:pt>
                <c:pt idx="1">
                  <c:v>Consumer Discretionary</c:v>
                </c:pt>
                <c:pt idx="2">
                  <c:v>Consumer Staples</c:v>
                </c:pt>
                <c:pt idx="3">
                  <c:v>Financials</c:v>
                </c:pt>
                <c:pt idx="4">
                  <c:v>Health Care</c:v>
                </c:pt>
                <c:pt idx="5">
                  <c:v>Industrials</c:v>
                </c:pt>
                <c:pt idx="6">
                  <c:v>Infrastructure</c:v>
                </c:pt>
              </c:strCache>
            </c:strRef>
          </c:cat>
          <c:val>
            <c:numRef>
              <c:f>Sector_Analytics!$C$4:$C$11</c:f>
              <c:numCache>
                <c:formatCode>General</c:formatCode>
                <c:ptCount val="7"/>
                <c:pt idx="0">
                  <c:v>0.24</c:v>
                </c:pt>
                <c:pt idx="1">
                  <c:v>0.32</c:v>
                </c:pt>
                <c:pt idx="2">
                  <c:v>0.75000000000000011</c:v>
                </c:pt>
                <c:pt idx="3">
                  <c:v>0.75000000000000022</c:v>
                </c:pt>
                <c:pt idx="4">
                  <c:v>0.49000000000000005</c:v>
                </c:pt>
                <c:pt idx="5">
                  <c:v>0.13</c:v>
                </c:pt>
                <c:pt idx="6">
                  <c:v>0.33999999999999997</c:v>
                </c:pt>
              </c:numCache>
            </c:numRef>
          </c:val>
        </c:ser>
        <c:ser>
          <c:idx val="2"/>
          <c:order val="2"/>
          <c:tx>
            <c:strRef>
              <c:f>Sector_Analytics!$D$3</c:f>
              <c:strCache>
                <c:ptCount val="1"/>
                <c:pt idx="0">
                  <c:v>Sum of Sector Average ROA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Sector_Analytics!$A$4:$A$11</c:f>
              <c:strCache>
                <c:ptCount val="7"/>
                <c:pt idx="0">
                  <c:v>Basic Materials</c:v>
                </c:pt>
                <c:pt idx="1">
                  <c:v>Consumer Discretionary</c:v>
                </c:pt>
                <c:pt idx="2">
                  <c:v>Consumer Staples</c:v>
                </c:pt>
                <c:pt idx="3">
                  <c:v>Financials</c:v>
                </c:pt>
                <c:pt idx="4">
                  <c:v>Health Care</c:v>
                </c:pt>
                <c:pt idx="5">
                  <c:v>Industrials</c:v>
                </c:pt>
                <c:pt idx="6">
                  <c:v>Infrastructure</c:v>
                </c:pt>
              </c:strCache>
            </c:strRef>
          </c:cat>
          <c:val>
            <c:numRef>
              <c:f>Sector_Analytics!$D$4:$D$11</c:f>
              <c:numCache>
                <c:formatCode>General</c:formatCode>
                <c:ptCount val="7"/>
                <c:pt idx="0">
                  <c:v>0.9</c:v>
                </c:pt>
                <c:pt idx="1">
                  <c:v>0.76000000000000012</c:v>
                </c:pt>
                <c:pt idx="2">
                  <c:v>2.160000000000001</c:v>
                </c:pt>
                <c:pt idx="3">
                  <c:v>1.9300000000000004</c:v>
                </c:pt>
                <c:pt idx="4">
                  <c:v>2.23</c:v>
                </c:pt>
                <c:pt idx="5">
                  <c:v>0.6100000000000001</c:v>
                </c:pt>
                <c:pt idx="6">
                  <c:v>1.59</c:v>
                </c:pt>
              </c:numCache>
            </c:numRef>
          </c:val>
        </c:ser>
        <c:dLbls>
          <c:showLegendKey val="0"/>
          <c:showVal val="1"/>
          <c:showCatName val="0"/>
          <c:showSerName val="0"/>
          <c:showPercent val="0"/>
          <c:showBubbleSize val="0"/>
        </c:dLbls>
        <c:gapWidth val="150"/>
        <c:shape val="box"/>
        <c:axId val="1944144496"/>
        <c:axId val="1944143952"/>
        <c:axId val="1777406448"/>
      </c:bar3DChart>
      <c:catAx>
        <c:axId val="1944144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4143952"/>
        <c:crosses val="autoZero"/>
        <c:auto val="1"/>
        <c:lblAlgn val="ctr"/>
        <c:lblOffset val="100"/>
        <c:noMultiLvlLbl val="0"/>
      </c:catAx>
      <c:valAx>
        <c:axId val="1944143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4144496"/>
        <c:crosses val="autoZero"/>
        <c:crossBetween val="between"/>
      </c:valAx>
      <c:serAx>
        <c:axId val="177740644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4143952"/>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19050</xdr:colOff>
      <xdr:row>2</xdr:row>
      <xdr:rowOff>4762</xdr:rowOff>
    </xdr:from>
    <xdr:to>
      <xdr:col>16</xdr:col>
      <xdr:colOff>381000</xdr:colOff>
      <xdr:row>22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171450</xdr:colOff>
      <xdr:row>2</xdr:row>
      <xdr:rowOff>9525</xdr:rowOff>
    </xdr:from>
    <xdr:to>
      <xdr:col>14</xdr:col>
      <xdr:colOff>190500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5976.692624305557" createdVersion="5" refreshedVersion="5" minRefreshableVersion="3" recordCount="90">
  <cacheSource type="worksheet">
    <worksheetSource ref="A1:O91" sheet="Updated Data"/>
  </cacheSource>
  <cacheFields count="15">
    <cacheField name="Year" numFmtId="0">
      <sharedItems containsSemiMixedTypes="0" containsString="0" containsNumber="1" containsInteger="1" minValue="2018" maxValue="2023"/>
    </cacheField>
    <cacheField name="Code" numFmtId="0">
      <sharedItems/>
    </cacheField>
    <cacheField name="Company's Name" numFmtId="0">
      <sharedItems/>
    </cacheField>
    <cacheField name="Corporate Sector" numFmtId="0">
      <sharedItems/>
    </cacheField>
    <cacheField name="RoA" numFmtId="0">
      <sharedItems containsSemiMixedTypes="0" containsString="0" containsNumber="1" minValue="0" maxValue="0.31"/>
    </cacheField>
    <cacheField name="ESG Performance" numFmtId="0">
      <sharedItems containsSemiMixedTypes="0" containsString="0" containsNumber="1" minValue="9.6300000000000008" maxValue="42.2"/>
    </cacheField>
    <cacheField name="Leverage Ratio" numFmtId="0">
      <sharedItems containsSemiMixedTypes="0" containsString="0" containsNumber="1" minValue="0" maxValue="0.8"/>
    </cacheField>
    <cacheField name="Sustainable Growth" numFmtId="0">
      <sharedItems containsSemiMixedTypes="0" containsString="0" containsNumber="1" minValue="0.11" maxValue="0.69"/>
    </cacheField>
    <cacheField name="Tobin's Q" numFmtId="0">
      <sharedItems containsSemiMixedTypes="0" containsString="0" containsNumber="1" minValue="0" maxValue="0.1"/>
    </cacheField>
    <cacheField name="ESG_Normalized" numFmtId="0">
      <sharedItems containsSemiMixedTypes="0" containsString="0" containsNumber="1" minValue="0" maxValue="100"/>
    </cacheField>
    <cacheField name="Sector Average ROA" numFmtId="0">
      <sharedItems containsSemiMixedTypes="0" containsString="0" containsNumber="1" minValue="6.433333333333334E-2" maxValue="0.18583333333333332"/>
    </cacheField>
    <cacheField name="Profitability_Gap" numFmtId="0">
      <sharedItems containsSemiMixedTypes="0" containsString="0" containsNumber="1" minValue="-0.17583333333333331" maxValue="0.17999999999999994"/>
    </cacheField>
    <cacheField name="Leverage_to_ESG_Ratio" numFmtId="0">
      <sharedItems containsSemiMixedTypes="0" containsString="0" containsNumber="1" minValue="0" maxValue="0.93801599999999996"/>
    </cacheField>
    <cacheField name="Growth_Adjusted_ESG" numFmtId="0">
      <sharedItems containsSemiMixedTypes="0" containsString="0" containsNumber="1" minValue="0" maxValue="43.345409886398535"/>
    </cacheField>
    <cacheField name="ESG_Quartile" numFmtId="0">
      <sharedItems count="4">
        <s v="Top"/>
        <s v="High"/>
        <s v="Moderate"/>
        <s v="Low"/>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76.697249884259" createdVersion="5" refreshedVersion="5" minRefreshableVersion="3" recordCount="90">
  <cacheSource type="worksheet">
    <worksheetSource ref="C1:K91" sheet="Updated Data"/>
  </cacheSource>
  <cacheFields count="9">
    <cacheField name="Company's Name" numFmtId="0">
      <sharedItems/>
    </cacheField>
    <cacheField name="Corporate Sector" numFmtId="0">
      <sharedItems count="7">
        <s v="Basic Materials"/>
        <s v="Consumer Discretionary"/>
        <s v="Financials"/>
        <s v="Consumer Staples"/>
        <s v="Infrastructure"/>
        <s v="Health Care"/>
        <s v="Industrials"/>
      </sharedItems>
    </cacheField>
    <cacheField name="RoA" numFmtId="0">
      <sharedItems containsSemiMixedTypes="0" containsString="0" containsNumber="1" minValue="0" maxValue="0.31"/>
    </cacheField>
    <cacheField name="ESG Performance" numFmtId="0">
      <sharedItems containsSemiMixedTypes="0" containsString="0" containsNumber="1" minValue="9.6300000000000008" maxValue="42.2"/>
    </cacheField>
    <cacheField name="Leverage Ratio" numFmtId="0">
      <sharedItems containsSemiMixedTypes="0" containsString="0" containsNumber="1" minValue="0" maxValue="0.8"/>
    </cacheField>
    <cacheField name="Sustainable Growth" numFmtId="0">
      <sharedItems containsSemiMixedTypes="0" containsString="0" containsNumber="1" minValue="0.11" maxValue="0.69"/>
    </cacheField>
    <cacheField name="Tobin's Q" numFmtId="0">
      <sharedItems containsSemiMixedTypes="0" containsString="0" containsNumber="1" minValue="0" maxValue="0.1"/>
    </cacheField>
    <cacheField name="ESG_Normalized" numFmtId="0">
      <sharedItems containsSemiMixedTypes="0" containsString="0" containsNumber="1" minValue="0" maxValue="100"/>
    </cacheField>
    <cacheField name="Sector Average ROA" numFmtId="0">
      <sharedItems containsSemiMixedTypes="0" containsString="0" containsNumber="1" minValue="6.433333333333334E-2" maxValue="0.185833333333333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
  <r>
    <n v="2023"/>
    <s v="ANTM"/>
    <s v="Aneka Tambang Tbk"/>
    <s v="Basic Materials"/>
    <n v="0.05"/>
    <n v="34.72"/>
    <n v="0.36"/>
    <n v="0.14000000000000001"/>
    <n v="0.1"/>
    <n v="77.034080442124647"/>
    <n v="0.15"/>
    <n v="-9.9999999999999992E-2"/>
    <n v="4.6732562774013551E-3"/>
    <n v="10.784771261897452"/>
    <x v="0"/>
  </r>
  <r>
    <n v="2023"/>
    <s v="AUTO"/>
    <s v="Astra Otoparts Tbk"/>
    <s v="Consumer Discretionary"/>
    <n v="0.11"/>
    <n v="28.14"/>
    <n v="0"/>
    <n v="0.16"/>
    <n v="7.0000000000000007E-2"/>
    <n v="56.831439975437512"/>
    <n v="0.12666666666666668"/>
    <n v="-1.6666666666666677E-2"/>
    <n v="0"/>
    <n v="9.0930303960700023"/>
    <x v="1"/>
  </r>
  <r>
    <n v="2023"/>
    <s v="BBCA"/>
    <s v="PT Bank Central Asia Tbk"/>
    <s v="Financials"/>
    <n v="0.03"/>
    <n v="21.2"/>
    <n v="0.15"/>
    <n v="0.49"/>
    <n v="0.03"/>
    <n v="35.523487872275098"/>
    <n v="6.433333333333334E-2"/>
    <n v="-3.4333333333333341E-2"/>
    <n v="4.222558340535869E-3"/>
    <n v="17.406509057414798"/>
    <x v="2"/>
  </r>
  <r>
    <n v="2023"/>
    <s v="BBNI"/>
    <s v="PT Bank Negara Indonesia (Persero) Tbk"/>
    <s v="Financials"/>
    <n v="0.02"/>
    <n v="22.9"/>
    <n v="0.12"/>
    <n v="0.34"/>
    <n v="0.02"/>
    <n v="40.743015044519488"/>
    <n v="6.433333333333334E-2"/>
    <n v="-4.4333333333333336E-2"/>
    <n v="2.9452901281085161E-3"/>
    <n v="13.852625115136627"/>
    <x v="2"/>
  </r>
  <r>
    <n v="2023"/>
    <s v="BBRI"/>
    <s v="PT Bank Rakyat Indonesia (Persero) Tbk"/>
    <s v="Financials"/>
    <n v="0.03"/>
    <n v="17.7"/>
    <n v="0.15"/>
    <n v="0.28000000000000003"/>
    <n v="0.06"/>
    <n v="24.777402517654281"/>
    <n v="6.433333333333334E-2"/>
    <n v="-3.4333333333333341E-2"/>
    <n v="6.0539033457249073E-3"/>
    <n v="6.937672704943199"/>
    <x v="3"/>
  </r>
  <r>
    <n v="2023"/>
    <s v="BBTN"/>
    <s v="PT Bank Tabungan Negara (Persero) Tbk"/>
    <s v="Financials"/>
    <n v="0.01"/>
    <n v="27.85"/>
    <n v="0.06"/>
    <n v="0.15"/>
    <n v="0.03"/>
    <n v="55.941050046054656"/>
    <n v="6.433333333333334E-2"/>
    <n v="-5.4333333333333338E-2"/>
    <n v="1.0725576289791437E-3"/>
    <n v="8.3911575069081987"/>
    <x v="1"/>
  </r>
  <r>
    <n v="2023"/>
    <s v="BMRI"/>
    <s v="PT Bank Mandiri (Persero) Tbk"/>
    <s v="Financials"/>
    <n v="0.03"/>
    <n v="17.25"/>
    <n v="0.12"/>
    <n v="0.43"/>
    <n v="0.02"/>
    <n v="23.395762972060176"/>
    <n v="6.433333333333334E-2"/>
    <n v="-3.4333333333333341E-2"/>
    <n v="5.1291338582677166E-3"/>
    <n v="10.060178077985876"/>
    <x v="3"/>
  </r>
  <r>
    <n v="2023"/>
    <s v="ICBP"/>
    <s v="Indofood CBP Sukses Makmur Tbk"/>
    <s v="Consumer Staples"/>
    <n v="7.0000000000000007E-2"/>
    <n v="32.15"/>
    <n v="0"/>
    <n v="0.36"/>
    <n v="0.08"/>
    <n v="69.143383481731647"/>
    <n v="0.12000000000000004"/>
    <n v="-5.0000000000000031E-2"/>
    <n v="0"/>
    <n v="24.891618053423393"/>
    <x v="0"/>
  </r>
  <r>
    <n v="2023"/>
    <s v="INDF"/>
    <s v="Indofood Sukses Makmur Tbk"/>
    <s v="Consumer Staples"/>
    <n v="0.06"/>
    <n v="35.770000000000003"/>
    <n v="0.46"/>
    <n v="0.32"/>
    <n v="0.05"/>
    <n v="80.25790604851089"/>
    <n v="0.12000000000000004"/>
    <n v="-6.0000000000000039E-2"/>
    <n v="5.7315225707727634E-3"/>
    <n v="25.682529935523487"/>
    <x v="0"/>
  </r>
  <r>
    <n v="2023"/>
    <s v="JSMR"/>
    <s v="PT Jasa Marga Tbk"/>
    <s v="Infrastructure"/>
    <n v="0.05"/>
    <n v="10.3"/>
    <n v="0.7"/>
    <n v="0.45"/>
    <n v="0.02"/>
    <n v="2.0571077678845562"/>
    <n v="0.13249999999999998"/>
    <n v="-8.2499999999999976E-2"/>
    <n v="0.34028358208955223"/>
    <n v="0.92569849554805028"/>
    <x v="3"/>
  </r>
  <r>
    <n v="2023"/>
    <s v="KLBF"/>
    <s v="Kalbe Farma Tbk"/>
    <s v="Health Care"/>
    <n v="0.13"/>
    <n v="31.2"/>
    <n v="0.15"/>
    <n v="0.38"/>
    <n v="0.09"/>
    <n v="66.22658888547744"/>
    <n v="0.18583333333333332"/>
    <n v="-5.5833333333333318E-2"/>
    <n v="2.2649513212795545E-3"/>
    <n v="25.166103776481428"/>
    <x v="1"/>
  </r>
  <r>
    <n v="2023"/>
    <s v="SIDO"/>
    <s v="PT Industri Jamu Dan Farmasi Sido Muncul Tbk"/>
    <s v="Health Care"/>
    <n v="0.23"/>
    <n v="21.87"/>
    <n v="0"/>
    <n v="0.56999999999999995"/>
    <n v="0.05"/>
    <n v="37.580595640159657"/>
    <n v="0.18583333333333332"/>
    <n v="4.4166666666666687E-2"/>
    <n v="0"/>
    <n v="21.420939514891003"/>
    <x v="2"/>
  </r>
  <r>
    <n v="2023"/>
    <s v="TLKM"/>
    <s v="PT Telkom Indonesia (Persero) Tbk"/>
    <s v="Infrastructure"/>
    <n v="0.11"/>
    <n v="25.4"/>
    <n v="0.46"/>
    <n v="0.61"/>
    <n v="0.08"/>
    <n v="48.418790297820074"/>
    <n v="0.13249999999999998"/>
    <n v="-2.2499999999999978E-2"/>
    <n v="9.500443880786304E-3"/>
    <n v="29.535462081670243"/>
    <x v="1"/>
  </r>
  <r>
    <n v="2023"/>
    <s v="UNTR"/>
    <s v="United Tractors Tbk"/>
    <s v="Industrials"/>
    <n v="0.08"/>
    <n v="42.2"/>
    <n v="0"/>
    <n v="0.28000000000000003"/>
    <n v="0.04"/>
    <n v="100"/>
    <n v="0.10166666666666668"/>
    <n v="-2.1666666666666681E-2"/>
    <n v="0"/>
    <n v="28.000000000000004"/>
    <x v="0"/>
  </r>
  <r>
    <n v="2023"/>
    <s v="UNVR"/>
    <s v="Unilever Indonesia Tbk"/>
    <s v="Consumer Staples"/>
    <n v="0.27"/>
    <n v="18.04"/>
    <n v="0.8"/>
    <n v="0.5"/>
    <n v="0.02"/>
    <n v="25.821307952103155"/>
    <n v="0.12000000000000004"/>
    <n v="0.14999999999999997"/>
    <n v="3.0982164090368618E-2"/>
    <n v="12.910653976051577"/>
    <x v="2"/>
  </r>
  <r>
    <n v="2022"/>
    <s v="ANTM"/>
    <s v="Aneka Tambang Tbk"/>
    <s v="Basic Materials"/>
    <n v="0.11"/>
    <n v="33.57"/>
    <n v="0.3"/>
    <n v="0.18"/>
    <n v="0.09"/>
    <n v="73.503223825606383"/>
    <n v="0.15"/>
    <n v="-3.9999999999999994E-2"/>
    <n v="4.0814536340852128E-3"/>
    <n v="13.230580288609149"/>
    <x v="0"/>
  </r>
  <r>
    <n v="2022"/>
    <s v="AUTO"/>
    <s v="Astra Otoparts Tbk"/>
    <s v="Consumer Discretionary"/>
    <n v="0.08"/>
    <n v="27.5"/>
    <n v="0"/>
    <n v="0.14000000000000001"/>
    <n v="0.09"/>
    <n v="54.866441510592558"/>
    <n v="0.12666666666666668"/>
    <n v="-4.6666666666666676E-2"/>
    <n v="0"/>
    <n v="7.6813018114829585"/>
    <x v="1"/>
  </r>
  <r>
    <n v="2022"/>
    <s v="BBCA"/>
    <s v="PT Bank Central Asia Tbk"/>
    <s v="Financials"/>
    <n v="0.03"/>
    <n v="21"/>
    <n v="0.15"/>
    <n v="0.48"/>
    <n v="0.03"/>
    <n v="34.909425852011047"/>
    <n v="6.433333333333334E-2"/>
    <n v="-3.4333333333333341E-2"/>
    <n v="4.2968337730870717E-3"/>
    <n v="16.756524408965301"/>
    <x v="2"/>
  </r>
  <r>
    <n v="2022"/>
    <s v="BBNI"/>
    <s v="PT Bank Negara Indonesia (Persero) Tbk"/>
    <s v="Financials"/>
    <n v="0.01"/>
    <n v="22.6"/>
    <n v="0.13"/>
    <n v="0.3"/>
    <n v="0.01"/>
    <n v="39.82192201412343"/>
    <n v="6.433333333333334E-2"/>
    <n v="-5.4333333333333338E-2"/>
    <n v="3.2645335389360061E-3"/>
    <n v="11.946576604237029"/>
    <x v="2"/>
  </r>
  <r>
    <n v="2022"/>
    <s v="BBRI"/>
    <s v="PT Bank Rakyat Indonesia (Persero) Tbk"/>
    <s v="Financials"/>
    <n v="0.03"/>
    <n v="17.649999999999999"/>
    <n v="0.15"/>
    <n v="0.3"/>
    <n v="0.06"/>
    <n v="24.623887012588263"/>
    <n v="6.433333333333334E-2"/>
    <n v="-3.4333333333333341E-2"/>
    <n v="6.0916458852867846E-3"/>
    <n v="7.3871661037764786"/>
    <x v="3"/>
  </r>
  <r>
    <n v="2022"/>
    <s v="BBTN"/>
    <s v="PT Bank Tabungan Negara (Persero) Tbk"/>
    <s v="Financials"/>
    <n v="0"/>
    <n v="27.5"/>
    <n v="0.06"/>
    <n v="0.14000000000000001"/>
    <n v="0"/>
    <n v="54.866441510592558"/>
    <n v="6.433333333333334E-2"/>
    <n v="-6.433333333333334E-2"/>
    <n v="1.0935646334639061E-3"/>
    <n v="7.6813018114829585"/>
    <x v="1"/>
  </r>
  <r>
    <n v="2022"/>
    <s v="BMRI"/>
    <s v="PT Bank Mandiri (Persero) Tbk"/>
    <s v="Financials"/>
    <n v="0.02"/>
    <n v="17.05"/>
    <n v="0.11"/>
    <n v="0.38"/>
    <n v="0.01"/>
    <n v="22.781700951796129"/>
    <n v="6.433333333333334E-2"/>
    <n v="-4.4333333333333336E-2"/>
    <n v="4.8284366576819412E-3"/>
    <n v="8.6570463616825286"/>
    <x v="3"/>
  </r>
  <r>
    <n v="2022"/>
    <s v="ICBP"/>
    <s v="Indofood CBP Sukses Makmur Tbk"/>
    <s v="Consumer Staples"/>
    <n v="0.05"/>
    <n v="31.9"/>
    <n v="0.01"/>
    <n v="0.34"/>
    <n v="7.0000000000000007E-2"/>
    <n v="68.375805956401578"/>
    <n v="0.12000000000000004"/>
    <n v="-7.0000000000000034E-2"/>
    <n v="1.4625056129321962E-4"/>
    <n v="23.24777402517654"/>
    <x v="0"/>
  </r>
  <r>
    <n v="2022"/>
    <s v="INDF"/>
    <s v="Indofood Sukses Makmur Tbk"/>
    <s v="Consumer Staples"/>
    <n v="0.06"/>
    <n v="35.46"/>
    <n v="0.48"/>
    <n v="0.31"/>
    <n v="0.03"/>
    <n v="79.306109917101622"/>
    <n v="0.12000000000000004"/>
    <n v="-6.0000000000000039E-2"/>
    <n v="6.0524970963995355E-3"/>
    <n v="24.584894074301502"/>
    <x v="0"/>
  </r>
  <r>
    <n v="2022"/>
    <s v="JSMR"/>
    <s v="PT Jasa Marga Tbk"/>
    <s v="Infrastructure"/>
    <n v="0.01"/>
    <n v="9.8800000000000008"/>
    <n v="0.72"/>
    <n v="0.48"/>
    <n v="0.01"/>
    <n v="0.7675775253300583"/>
    <n v="0.13249999999999998"/>
    <n v="-0.12249999999999998"/>
    <n v="0.93801599999999996"/>
    <n v="0.36843721215842795"/>
    <x v="3"/>
  </r>
  <r>
    <n v="2022"/>
    <s v="KLBF"/>
    <s v="Kalbe Farma Tbk"/>
    <s v="Health Care"/>
    <n v="0.1"/>
    <n v="31"/>
    <n v="0.19"/>
    <n v="0.4"/>
    <n v="7.0000000000000007E-2"/>
    <n v="65.612526865213383"/>
    <n v="0.18583333333333332"/>
    <n v="-8.5833333333333317E-2"/>
    <n v="2.8957884885353301E-3"/>
    <n v="26.245010746085356"/>
    <x v="1"/>
  </r>
  <r>
    <n v="2022"/>
    <s v="SIDO"/>
    <s v="PT Industri Jamu Dan Farmasi Sido Muncul Tbk"/>
    <s v="Health Care"/>
    <n v="0.27"/>
    <n v="21.74"/>
    <n v="0"/>
    <n v="0.56000000000000005"/>
    <n v="0.03"/>
    <n v="37.181455326988015"/>
    <n v="0.18583333333333332"/>
    <n v="8.4166666666666695E-2"/>
    <n v="0"/>
    <n v="20.821614983113289"/>
    <x v="2"/>
  </r>
  <r>
    <n v="2022"/>
    <s v="TLKM"/>
    <s v="PT Telkom Indonesia (Persero) Tbk"/>
    <s v="Infrastructure"/>
    <n v="0.11"/>
    <n v="25.3"/>
    <n v="0.46"/>
    <n v="0.63"/>
    <n v="0.06"/>
    <n v="48.111759287688052"/>
    <n v="0.13249999999999998"/>
    <n v="-2.2499999999999978E-2"/>
    <n v="9.5610721123165297E-3"/>
    <n v="30.310408351243474"/>
    <x v="1"/>
  </r>
  <r>
    <n v="2022"/>
    <s v="UNTR"/>
    <s v="United Tractors Tbk"/>
    <s v="Industrials"/>
    <n v="0.2"/>
    <n v="42"/>
    <n v="0"/>
    <n v="0.28000000000000003"/>
    <n v="0.03"/>
    <n v="99.385937979735957"/>
    <n v="0.10166666666666668"/>
    <n v="9.8333333333333328E-2"/>
    <n v="0"/>
    <n v="27.82806263432607"/>
    <x v="0"/>
  </r>
  <r>
    <n v="2022"/>
    <s v="UNVR"/>
    <s v="Unilever Indonesia Tbk"/>
    <s v="Consumer Staples"/>
    <n v="0.3"/>
    <n v="17.95"/>
    <n v="0.78"/>
    <n v="0.46"/>
    <n v="0"/>
    <n v="25.544980042984339"/>
    <n v="0.12000000000000004"/>
    <n v="0.17999999999999994"/>
    <n v="3.0534375000000006E-2"/>
    <n v="11.750690819772796"/>
    <x v="3"/>
  </r>
  <r>
    <n v="2021"/>
    <s v="ANTM"/>
    <s v="Aneka Tambang Tbk"/>
    <s v="Basic Materials"/>
    <n v="7.0000000000000007E-2"/>
    <n v="31.29"/>
    <n v="0.37"/>
    <n v="0.2"/>
    <n v="0.02"/>
    <n v="66.502916794596246"/>
    <n v="0.15"/>
    <n v="-7.9999999999999988E-2"/>
    <n v="5.5636657433056329E-3"/>
    <n v="13.300583358919249"/>
    <x v="1"/>
  </r>
  <r>
    <n v="2021"/>
    <s v="AUTO"/>
    <s v="Astra Otoparts Tbk"/>
    <s v="Consumer Discretionary"/>
    <n v="0.04"/>
    <n v="26.23"/>
    <n v="0"/>
    <n v="0.12"/>
    <n v="0.04"/>
    <n v="50.967147681915883"/>
    <n v="0.12666666666666668"/>
    <n v="-8.666666666666667E-2"/>
    <n v="0"/>
    <n v="6.1160577218299057"/>
    <x v="1"/>
  </r>
  <r>
    <n v="2021"/>
    <s v="BBCA"/>
    <s v="PT Bank Central Asia Tbk"/>
    <s v="Financials"/>
    <n v="0.03"/>
    <n v="20.6"/>
    <n v="0.14000000000000001"/>
    <n v="0.41"/>
    <n v="0"/>
    <n v="33.68130181148296"/>
    <n v="6.433333333333334E-2"/>
    <n v="-3.4333333333333341E-2"/>
    <n v="4.1566089334548776E-3"/>
    <n v="13.809333742708013"/>
    <x v="2"/>
  </r>
  <r>
    <n v="2021"/>
    <s v="BBNI"/>
    <s v="PT Bank Negara Indonesia (Persero) Tbk"/>
    <s v="Financials"/>
    <n v="0.01"/>
    <n v="22.17"/>
    <n v="0.13"/>
    <n v="0.18"/>
    <n v="0.01"/>
    <n v="38.50168867055573"/>
    <n v="6.433333333333334E-2"/>
    <n v="-5.4333333333333338E-2"/>
    <n v="3.3764752791068577E-3"/>
    <n v="6.930303960700031"/>
    <x v="2"/>
  </r>
  <r>
    <n v="2021"/>
    <s v="BBRI"/>
    <s v="PT Bank Rakyat Indonesia (Persero) Tbk"/>
    <s v="Financials"/>
    <n v="0.02"/>
    <n v="17.5"/>
    <n v="0.16"/>
    <n v="0.21"/>
    <n v="0.05"/>
    <n v="24.163340497390234"/>
    <n v="6.433333333333334E-2"/>
    <n v="-4.4333333333333336E-2"/>
    <n v="6.621601016518425E-3"/>
    <n v="5.0743015044519488"/>
    <x v="3"/>
  </r>
  <r>
    <n v="2021"/>
    <s v="BBTN"/>
    <s v="PT Bank Tabungan Negara (Persero) Tbk"/>
    <s v="Financials"/>
    <n v="0"/>
    <n v="26.87"/>
    <n v="0.05"/>
    <n v="0.13"/>
    <n v="0.02"/>
    <n v="52.932146146760829"/>
    <n v="6.433333333333334E-2"/>
    <n v="-6.433333333333334E-2"/>
    <n v="9.4460556844547553E-4"/>
    <n v="6.8811789990789078"/>
    <x v="1"/>
  </r>
  <r>
    <n v="2021"/>
    <s v="BMRI"/>
    <s v="PT Bank Mandiri (Persero) Tbk"/>
    <s v="Financials"/>
    <n v="0.02"/>
    <n v="16.88"/>
    <n v="0.11"/>
    <n v="0.32"/>
    <n v="0"/>
    <n v="22.259748234571685"/>
    <n v="6.433333333333334E-2"/>
    <n v="-4.4333333333333336E-2"/>
    <n v="4.9416551724137947E-3"/>
    <n v="7.1231194350629394"/>
    <x v="3"/>
  </r>
  <r>
    <n v="2021"/>
    <s v="ICBP"/>
    <s v="Indofood CBP Sukses Makmur Tbk"/>
    <s v="Consumer Staples"/>
    <n v="7.0000000000000007E-2"/>
    <n v="31.07"/>
    <n v="0.01"/>
    <n v="0.37"/>
    <n v="0.08"/>
    <n v="65.827448572305798"/>
    <n v="0.12000000000000004"/>
    <n v="-5.0000000000000031E-2"/>
    <n v="1.5191231343283584E-4"/>
    <n v="24.356155971753147"/>
    <x v="1"/>
  </r>
  <r>
    <n v="2021"/>
    <s v="INDF"/>
    <s v="Indofood Sukses Makmur Tbk"/>
    <s v="Consumer Staples"/>
    <n v="7.0000000000000007E-2"/>
    <n v="34.869999999999997"/>
    <n v="0.52"/>
    <n v="0.33"/>
    <n v="0.03"/>
    <n v="77.49462695732268"/>
    <n v="0.12000000000000004"/>
    <n v="-5.0000000000000031E-2"/>
    <n v="6.7101426307448501E-3"/>
    <n v="25.573226895916484"/>
    <x v="0"/>
  </r>
  <r>
    <n v="2021"/>
    <s v="JSMR"/>
    <s v="PT Jasa Marga Tbk"/>
    <s v="Infrastructure"/>
    <n v="0.01"/>
    <n v="9.6300000000000008"/>
    <n v="0.75"/>
    <n v="0.46"/>
    <n v="0.02"/>
    <n v="0"/>
    <n v="0.13249999999999998"/>
    <n v="-0.12249999999999998"/>
    <n v="0.75"/>
    <n v="0"/>
    <x v="3"/>
  </r>
  <r>
    <n v="2021"/>
    <s v="KLBF"/>
    <s v="Kalbe Farma Tbk"/>
    <s v="Health Care"/>
    <n v="0.13"/>
    <n v="30.74"/>
    <n v="0.17"/>
    <n v="0.42"/>
    <n v="0.01"/>
    <n v="64.814246238870126"/>
    <n v="0.18583333333333332"/>
    <n v="-5.5833333333333318E-2"/>
    <n v="2.6228801515869259E-3"/>
    <n v="27.221983420325451"/>
    <x v="1"/>
  </r>
  <r>
    <n v="2021"/>
    <s v="SIDO"/>
    <s v="PT Industri Jamu Dan Farmasi Sido Muncul Tbk"/>
    <s v="Health Care"/>
    <n v="0.31"/>
    <n v="21.5"/>
    <n v="0"/>
    <n v="0.56999999999999995"/>
    <n v="0.02"/>
    <n v="36.44458090267117"/>
    <n v="0.18583333333333332"/>
    <n v="0.12416666666666668"/>
    <n v="0"/>
    <n v="20.773411114522567"/>
    <x v="2"/>
  </r>
  <r>
    <n v="2021"/>
    <s v="TLKM"/>
    <s v="PT Telkom Indonesia (Persero) Tbk"/>
    <s v="Infrastructure"/>
    <n v="0.13"/>
    <n v="24.84"/>
    <n v="0.48"/>
    <n v="0.63"/>
    <n v="0"/>
    <n v="46.699416641080745"/>
    <n v="0.13249999999999998"/>
    <n v="-2.4999999999999745E-3"/>
    <n v="1.0278500986193295E-2"/>
    <n v="29.420632483880869"/>
    <x v="1"/>
  </r>
  <r>
    <n v="2021"/>
    <s v="UNTR"/>
    <s v="United Tractors Tbk"/>
    <s v="Industrials"/>
    <n v="0.11"/>
    <n v="41.25"/>
    <n v="0"/>
    <n v="0.25"/>
    <n v="0.02"/>
    <n v="97.083205403745765"/>
    <n v="0.10166666666666668"/>
    <n v="8.3333333333333176E-3"/>
    <n v="0"/>
    <n v="24.270801350936441"/>
    <x v="0"/>
  </r>
  <r>
    <n v="2021"/>
    <s v="UNVR"/>
    <s v="Unilever Indonesia Tbk"/>
    <s v="Consumer Staples"/>
    <n v="0.3"/>
    <n v="17.68"/>
    <n v="0.77"/>
    <n v="0.5"/>
    <n v="0.03"/>
    <n v="24.715996315627876"/>
    <n v="0.12000000000000004"/>
    <n v="0.17999999999999994"/>
    <n v="3.1153913043478264E-2"/>
    <n v="12.357998157813938"/>
    <x v="3"/>
  </r>
  <r>
    <n v="2020"/>
    <s v="ANTM"/>
    <s v="Aneka Tambang Tbk"/>
    <s v="Basic Materials"/>
    <n v="0.18"/>
    <n v="13.48"/>
    <n v="0.73"/>
    <n v="0.41"/>
    <n v="0"/>
    <n v="11.820693890082898"/>
    <n v="0.15"/>
    <n v="0.03"/>
    <n v="6.1756103896103892E-2"/>
    <n v="4.8464844949339883"/>
    <x v="3"/>
  </r>
  <r>
    <n v="2020"/>
    <s v="AUTO"/>
    <s v="Astra Otoparts Tbk"/>
    <s v="Consumer Discretionary"/>
    <n v="0.28000000000000003"/>
    <n v="35.89"/>
    <n v="0.2"/>
    <n v="0.35"/>
    <n v="0.02"/>
    <n v="80.626343260669316"/>
    <n v="0.12666666666666668"/>
    <n v="0.15333333333333335"/>
    <n v="2.4805788271134812E-3"/>
    <n v="28.21922014123426"/>
    <x v="0"/>
  </r>
  <r>
    <n v="2020"/>
    <s v="BBCA"/>
    <s v="PT Bank Central Asia Tbk"/>
    <s v="Financials"/>
    <n v="7.0000000000000007E-2"/>
    <n v="19.93"/>
    <n v="0.6"/>
    <n v="0.17"/>
    <n v="0"/>
    <n v="31.624194043598404"/>
    <n v="6.433333333333334E-2"/>
    <n v="5.6666666666666671E-3"/>
    <n v="1.8972815533980582E-2"/>
    <n v="5.3761129874117293"/>
    <x v="2"/>
  </r>
  <r>
    <n v="2020"/>
    <s v="BBNI"/>
    <s v="PT Bank Negara Indonesia (Persero) Tbk"/>
    <s v="Financials"/>
    <n v="0.02"/>
    <n v="11.91"/>
    <n v="0.18"/>
    <n v="0.3"/>
    <n v="0.01"/>
    <n v="7.0003070310101307"/>
    <n v="6.433333333333334E-2"/>
    <n v="-4.4333333333333336E-2"/>
    <n v="2.5713157894736847E-2"/>
    <n v="2.1000921093030391"/>
    <x v="3"/>
  </r>
  <r>
    <n v="2020"/>
    <s v="BBRI"/>
    <s v="PT Bank Rakyat Indonesia (Persero) Tbk"/>
    <s v="Financials"/>
    <n v="0.1"/>
    <n v="19.329999999999998"/>
    <n v="0.38"/>
    <n v="0.45"/>
    <n v="0.06"/>
    <n v="29.782007982806256"/>
    <n v="6.433333333333334E-2"/>
    <n v="3.5666666666666666E-2"/>
    <n v="1.2759381443298972E-2"/>
    <n v="13.401903592262816"/>
    <x v="2"/>
  </r>
  <r>
    <n v="2020"/>
    <s v="BBTN"/>
    <s v="PT Bank Tabungan Negara (Persero) Tbk"/>
    <s v="Financials"/>
    <n v="0.12"/>
    <n v="19.760000000000002"/>
    <n v="0.65"/>
    <n v="0.35"/>
    <n v="0.01"/>
    <n v="31.102241326373964"/>
    <n v="6.433333333333334E-2"/>
    <n v="5.5666666666666656E-2"/>
    <n v="2.0898815399802567E-2"/>
    <n v="10.885784464230886"/>
    <x v="2"/>
  </r>
  <r>
    <n v="2020"/>
    <s v="BMRI"/>
    <s v="PT Bank Mandiri (Persero) Tbk"/>
    <s v="Financials"/>
    <n v="0.09"/>
    <n v="31.89"/>
    <n v="0.65"/>
    <n v="0.3"/>
    <n v="7.0000000000000007E-2"/>
    <n v="68.34510285538839"/>
    <n v="6.433333333333334E-2"/>
    <n v="2.5666666666666657E-2"/>
    <n v="9.510557053009884E-3"/>
    <n v="20.503530856616518"/>
    <x v="0"/>
  </r>
  <r>
    <n v="2020"/>
    <s v="ICBP"/>
    <s v="Indofood CBP Sukses Makmur Tbk"/>
    <s v="Consumer Staples"/>
    <n v="0.09"/>
    <n v="24.17"/>
    <n v="0.32"/>
    <n v="0.67"/>
    <n v="0.1"/>
    <n v="44.642308873196193"/>
    <n v="0.12000000000000004"/>
    <n v="-3.0000000000000041E-2"/>
    <n v="7.1680880330123797E-3"/>
    <n v="29.91034694504145"/>
    <x v="2"/>
  </r>
  <r>
    <n v="2020"/>
    <s v="INDF"/>
    <s v="Indofood Sukses Makmur Tbk"/>
    <s v="Consumer Staples"/>
    <n v="0.05"/>
    <n v="31.4"/>
    <n v="0.59"/>
    <n v="0.3"/>
    <n v="0.02"/>
    <n v="66.84065090574147"/>
    <n v="0.12000000000000004"/>
    <n v="-7.0000000000000034E-2"/>
    <n v="8.8269637115296288E-3"/>
    <n v="20.052195271722439"/>
    <x v="0"/>
  </r>
  <r>
    <n v="2020"/>
    <s v="JSMR"/>
    <s v="PT Jasa Marga Tbk"/>
    <s v="Infrastructure"/>
    <n v="0.3"/>
    <n v="33.130000000000003"/>
    <n v="0.64"/>
    <n v="0.45"/>
    <n v="0.02"/>
    <n v="72.152287381025488"/>
    <n v="0.13249999999999998"/>
    <n v="0.16750000000000001"/>
    <n v="8.8701276595744682E-3"/>
    <n v="32.468529321461467"/>
    <x v="0"/>
  </r>
  <r>
    <n v="2020"/>
    <s v="KLBF"/>
    <s v="Kalbe Farma Tbk"/>
    <s v="Health Care"/>
    <n v="0.23"/>
    <n v="24.81"/>
    <n v="0.49"/>
    <n v="0.59"/>
    <n v="7.0000000000000007E-2"/>
    <n v="46.607307338041139"/>
    <n v="0.18583333333333332"/>
    <n v="4.4166666666666687E-2"/>
    <n v="1.0513372859025033E-2"/>
    <n v="27.49831132944427"/>
    <x v="1"/>
  </r>
  <r>
    <n v="2020"/>
    <s v="SIDO"/>
    <s v="PT Industri Jamu Dan Farmasi Sido Muncul Tbk"/>
    <s v="Health Care"/>
    <n v="0.01"/>
    <n v="22.83"/>
    <n v="0.61"/>
    <n v="0.59"/>
    <n v="0"/>
    <n v="40.528093337427073"/>
    <n v="0.18583333333333332"/>
    <n v="-0.17583333333333331"/>
    <n v="1.5051287878787881E-2"/>
    <n v="23.911575069081973"/>
    <x v="2"/>
  </r>
  <r>
    <n v="2020"/>
    <s v="TLKM"/>
    <s v="PT Telkom Indonesia (Persero) Tbk"/>
    <s v="Infrastructure"/>
    <n v="0.23"/>
    <n v="29.09"/>
    <n v="0.1"/>
    <n v="0.56999999999999995"/>
    <n v="0.02"/>
    <n v="59.748234571691739"/>
    <n v="0.13249999999999998"/>
    <n v="9.7500000000000031E-2"/>
    <n v="1.6736896197327854E-3"/>
    <n v="34.056493705864291"/>
    <x v="1"/>
  </r>
  <r>
    <n v="2020"/>
    <s v="UNTR"/>
    <s v="United Tractors Tbk"/>
    <s v="Industrials"/>
    <n v="0.03"/>
    <n v="19.43"/>
    <n v="0.31"/>
    <n v="0.45"/>
    <n v="0"/>
    <n v="30.089038992938281"/>
    <n v="0.10166666666666668"/>
    <n v="-7.1666666666666684E-2"/>
    <n v="1.0302755102040819E-2"/>
    <n v="13.540067546822227"/>
    <x v="2"/>
  </r>
  <r>
    <n v="2020"/>
    <s v="UNVR"/>
    <s v="Unilever Indonesia Tbk"/>
    <s v="Consumer Staples"/>
    <n v="0.11"/>
    <n v="25.26"/>
    <n v="0.31"/>
    <n v="0.37"/>
    <n v="0.03"/>
    <n v="47.988946883635251"/>
    <n v="0.12000000000000004"/>
    <n v="-1.0000000000000037E-2"/>
    <n v="6.4598208573256556E-3"/>
    <n v="17.755910346945043"/>
    <x v="1"/>
  </r>
  <r>
    <n v="2019"/>
    <s v="ANTM"/>
    <s v="Aneka Tambang Tbk"/>
    <s v="Basic Materials"/>
    <n v="0.3"/>
    <n v="14.13"/>
    <n v="0.49"/>
    <n v="0.48"/>
    <n v="0.03"/>
    <n v="13.81639545594105"/>
    <n v="0.15"/>
    <n v="0.15"/>
    <n v="3.5465111111111107E-2"/>
    <n v="6.6318698188517038"/>
    <x v="3"/>
  </r>
  <r>
    <n v="2019"/>
    <s v="AUTO"/>
    <s v="Astra Otoparts Tbk"/>
    <s v="Consumer Discretionary"/>
    <n v="0.08"/>
    <n v="20.23"/>
    <n v="0.01"/>
    <n v="0.57999999999999996"/>
    <n v="0.01"/>
    <n v="32.545287073994473"/>
    <n v="0.12666666666666668"/>
    <n v="-4.6666666666666676E-2"/>
    <n v="3.0726415094339625E-4"/>
    <n v="18.876266502916792"/>
    <x v="2"/>
  </r>
  <r>
    <n v="2019"/>
    <s v="BBCA"/>
    <s v="PT Bank Central Asia Tbk"/>
    <s v="Financials"/>
    <n v="0.23"/>
    <n v="37.74"/>
    <n v="0.53"/>
    <n v="0.45"/>
    <n v="0.02"/>
    <n v="86.306416948111746"/>
    <n v="6.433333333333334E-2"/>
    <n v="0.16566666666666668"/>
    <n v="6.1409107079331213E-3"/>
    <n v="38.837887626650286"/>
    <x v="0"/>
  </r>
  <r>
    <n v="2019"/>
    <s v="BBNI"/>
    <s v="PT Bank Negara Indonesia (Persero) Tbk"/>
    <s v="Financials"/>
    <n v="0.08"/>
    <n v="36.32"/>
    <n v="0"/>
    <n v="0.4"/>
    <n v="0"/>
    <n v="81.946576604237023"/>
    <n v="6.433333333333334E-2"/>
    <n v="1.5666666666666662E-2"/>
    <n v="0"/>
    <n v="32.778630641694811"/>
    <x v="0"/>
  </r>
  <r>
    <n v="2019"/>
    <s v="BBRI"/>
    <s v="PT Bank Rakyat Indonesia (Persero) Tbk"/>
    <s v="Financials"/>
    <n v="0.1"/>
    <n v="34.840000000000003"/>
    <n v="0.75"/>
    <n v="0.56000000000000005"/>
    <n v="0.04"/>
    <n v="77.402517654283088"/>
    <n v="6.433333333333334E-2"/>
    <n v="3.5666666666666666E-2"/>
    <n v="9.6896072986909949E-3"/>
    <n v="43.345409886398535"/>
    <x v="0"/>
  </r>
  <r>
    <n v="2019"/>
    <s v="BBTN"/>
    <s v="PT Bank Tabungan Negara (Persero) Tbk"/>
    <s v="Financials"/>
    <n v="0.09"/>
    <n v="24.9"/>
    <n v="0.66"/>
    <n v="0.66"/>
    <n v="0.02"/>
    <n v="46.883635247159958"/>
    <n v="6.433333333333334E-2"/>
    <n v="2.5666666666666657E-2"/>
    <n v="1.4077406679764246E-2"/>
    <n v="30.943199263125575"/>
    <x v="1"/>
  </r>
  <r>
    <n v="2019"/>
    <s v="BMRI"/>
    <s v="PT Bank Mandiri (Persero) Tbk"/>
    <s v="Financials"/>
    <n v="0.06"/>
    <n v="12.84"/>
    <n v="0.43"/>
    <n v="0.37"/>
    <n v="0.01"/>
    <n v="9.8556954252379469"/>
    <n v="6.433333333333334E-2"/>
    <n v="-4.3333333333333418E-3"/>
    <n v="4.3629595015576332E-2"/>
    <n v="3.6466073073380403"/>
    <x v="3"/>
  </r>
  <r>
    <n v="2019"/>
    <s v="ICBP"/>
    <s v="Indofood CBP Sukses Makmur Tbk"/>
    <s v="Consumer Staples"/>
    <n v="0.05"/>
    <n v="29.89"/>
    <n v="0.56000000000000005"/>
    <n v="0.25"/>
    <n v="0.04"/>
    <n v="62.204482652747913"/>
    <n v="0.12000000000000004"/>
    <n v="-7.0000000000000034E-2"/>
    <n v="9.0025666337611079E-3"/>
    <n v="15.551120663186978"/>
    <x v="1"/>
  </r>
  <r>
    <n v="2019"/>
    <s v="INDF"/>
    <s v="Indofood Sukses Makmur Tbk"/>
    <s v="Consumer Staples"/>
    <n v="0.04"/>
    <n v="16.61"/>
    <n v="0.24"/>
    <n v="0.38"/>
    <n v="0.05"/>
    <n v="21.430764507215226"/>
    <n v="0.12000000000000004"/>
    <n v="-8.0000000000000043E-2"/>
    <n v="1.1198853868194844E-2"/>
    <n v="8.1436905127417862"/>
    <x v="3"/>
  </r>
  <r>
    <n v="2019"/>
    <s v="JSMR"/>
    <s v="PT Jasa Marga Tbk"/>
    <s v="Infrastructure"/>
    <n v="0.06"/>
    <n v="35.11"/>
    <n v="0.16"/>
    <n v="0.41"/>
    <n v="0.04"/>
    <n v="78.231501381639532"/>
    <n v="0.13249999999999998"/>
    <n v="-7.2499999999999981E-2"/>
    <n v="2.0452119309262171E-3"/>
    <n v="32.074915566472207"/>
    <x v="0"/>
  </r>
  <r>
    <n v="2019"/>
    <s v="KLBF"/>
    <s v="Kalbe Farma Tbk"/>
    <s v="Health Care"/>
    <n v="0.17"/>
    <n v="22.36"/>
    <n v="0.18"/>
    <n v="0.6"/>
    <n v="0"/>
    <n v="39.085047589806564"/>
    <n v="0.18583333333333332"/>
    <n v="-1.583333333333331E-2"/>
    <n v="4.6053417124901812E-3"/>
    <n v="23.451028553883937"/>
    <x v="2"/>
  </r>
  <r>
    <n v="2019"/>
    <s v="SIDO"/>
    <s v="PT Industri Jamu Dan Farmasi Sido Muncul Tbk"/>
    <s v="Health Care"/>
    <n v="0.24"/>
    <n v="26.1"/>
    <n v="0.48"/>
    <n v="0.36"/>
    <n v="0.08"/>
    <n v="50.56800736874424"/>
    <n v="0.18583333333333332"/>
    <n v="5.4166666666666669E-2"/>
    <n v="9.4921675774134791E-3"/>
    <n v="18.204482652747927"/>
    <x v="1"/>
  </r>
  <r>
    <n v="2019"/>
    <s v="TLKM"/>
    <s v="PT Telkom Indonesia (Persero) Tbk"/>
    <s v="Infrastructure"/>
    <n v="0.14000000000000001"/>
    <n v="13.66"/>
    <n v="0.55000000000000004"/>
    <n v="0.25"/>
    <n v="0.01"/>
    <n v="12.373349708320539"/>
    <n v="0.13249999999999998"/>
    <n v="7.5000000000000344E-3"/>
    <n v="4.4450372208436735E-2"/>
    <n v="3.0933374270801348"/>
    <x v="3"/>
  </r>
  <r>
    <n v="2019"/>
    <s v="UNTR"/>
    <s v="United Tractors Tbk"/>
    <s v="Industrials"/>
    <n v="0.06"/>
    <n v="14.13"/>
    <n v="0.53"/>
    <n v="0.46"/>
    <n v="0.02"/>
    <n v="13.81639545594105"/>
    <n v="0.10166666666666668"/>
    <n v="-4.1666666666666685E-2"/>
    <n v="3.8360222222222226E-2"/>
    <n v="6.3555419097328834"/>
    <x v="3"/>
  </r>
  <r>
    <n v="2019"/>
    <s v="UNVR"/>
    <s v="Unilever Indonesia Tbk"/>
    <s v="Consumer Staples"/>
    <n v="0.08"/>
    <n v="35.229999999999997"/>
    <n v="0.22"/>
    <n v="0.26"/>
    <n v="0.03"/>
    <n v="78.599938593797958"/>
    <n v="0.12000000000000004"/>
    <n v="-4.0000000000000036E-2"/>
    <n v="2.7989843750000007E-3"/>
    <n v="20.43598403438747"/>
    <x v="0"/>
  </r>
  <r>
    <n v="2018"/>
    <s v="ANTM"/>
    <s v="Aneka Tambang Tbk"/>
    <s v="Basic Materials"/>
    <n v="0.19"/>
    <n v="16.239999999999998"/>
    <n v="0.28999999999999998"/>
    <n v="0.37"/>
    <n v="0"/>
    <n v="20.294749769726735"/>
    <n v="0.15"/>
    <n v="4.0000000000000008E-2"/>
    <n v="1.4289409984871411E-2"/>
    <n v="7.5090574147988915"/>
    <x v="3"/>
  </r>
  <r>
    <n v="2018"/>
    <s v="AUTO"/>
    <s v="Astra Otoparts Tbk"/>
    <s v="Consumer Discretionary"/>
    <n v="0.17"/>
    <n v="16.46"/>
    <n v="0.73"/>
    <n v="0.11"/>
    <n v="0.09"/>
    <n v="20.970217992017194"/>
    <n v="0.12666666666666668"/>
    <n v="4.3333333333333335E-2"/>
    <n v="3.4811273792093707E-2"/>
    <n v="2.3067239791218914"/>
    <x v="3"/>
  </r>
  <r>
    <n v="2018"/>
    <s v="BBCA"/>
    <s v="PT Bank Central Asia Tbk"/>
    <s v="Financials"/>
    <n v="0.24"/>
    <n v="17.48"/>
    <n v="0.37"/>
    <n v="0.32"/>
    <n v="0.01"/>
    <n v="24.101934295363829"/>
    <n v="6.433333333333334E-2"/>
    <n v="0.17566666666666664"/>
    <n v="1.5351464968152867E-2"/>
    <n v="7.7126189745164258"/>
    <x v="3"/>
  </r>
  <r>
    <n v="2018"/>
    <s v="BBNI"/>
    <s v="PT Bank Negara Indonesia (Persero) Tbk"/>
    <s v="Financials"/>
    <n v="0.15"/>
    <n v="37.700000000000003"/>
    <n v="0.03"/>
    <n v="0.26"/>
    <n v="0"/>
    <n v="86.183604544058952"/>
    <n v="6.433333333333334E-2"/>
    <n v="8.5666666666666655E-2"/>
    <n v="3.4809405058781618E-4"/>
    <n v="22.407737181455328"/>
    <x v="0"/>
  </r>
  <r>
    <n v="2018"/>
    <s v="BBRI"/>
    <s v="PT Bank Rakyat Indonesia (Persero) Tbk"/>
    <s v="Financials"/>
    <n v="0.09"/>
    <n v="38.08"/>
    <n v="0.18"/>
    <n v="0.34"/>
    <n v="0.05"/>
    <n v="87.350322382560634"/>
    <n v="6.433333333333334E-2"/>
    <n v="2.5666666666666657E-2"/>
    <n v="2.0606678383128297E-3"/>
    <n v="29.699109610070618"/>
    <x v="0"/>
  </r>
  <r>
    <n v="2018"/>
    <s v="BBTN"/>
    <s v="PT Bank Tabungan Negara (Persero) Tbk"/>
    <s v="Financials"/>
    <n v="0.14000000000000001"/>
    <n v="31.73"/>
    <n v="0.42"/>
    <n v="0.17"/>
    <n v="0.03"/>
    <n v="67.85385323917717"/>
    <n v="6.433333333333334E-2"/>
    <n v="7.5666666666666674E-2"/>
    <n v="6.1897737556561071E-3"/>
    <n v="11.535155050660119"/>
    <x v="0"/>
  </r>
  <r>
    <n v="2018"/>
    <s v="BMRI"/>
    <s v="PT Bank Mandiri (Persero) Tbk"/>
    <s v="Financials"/>
    <n v="0.06"/>
    <n v="18.559999999999999"/>
    <n v="0.51"/>
    <n v="0.12"/>
    <n v="7.0000000000000007E-2"/>
    <n v="27.417869204789682"/>
    <n v="6.433333333333334E-2"/>
    <n v="-4.3333333333333418E-3"/>
    <n v="1.8601007838745801E-2"/>
    <n v="3.2901443045747616"/>
    <x v="2"/>
  </r>
  <r>
    <n v="2018"/>
    <s v="ICBP"/>
    <s v="Indofood CBP Sukses Makmur Tbk"/>
    <s v="Consumer Staples"/>
    <n v="0.05"/>
    <n v="20.73"/>
    <n v="0.49"/>
    <n v="0.69"/>
    <n v="0.08"/>
    <n v="34.080442124654589"/>
    <n v="0.12000000000000004"/>
    <n v="-7.0000000000000034E-2"/>
    <n v="1.4377747747747749E-2"/>
    <n v="23.515505066011663"/>
    <x v="2"/>
  </r>
  <r>
    <n v="2018"/>
    <s v="INDF"/>
    <s v="Indofood Sukses Makmur Tbk"/>
    <s v="Consumer Staples"/>
    <n v="0.27"/>
    <n v="27.06"/>
    <n v="0.71"/>
    <n v="0.28999999999999998"/>
    <n v="0"/>
    <n v="53.51550506601167"/>
    <n v="0.12000000000000004"/>
    <n v="0.14999999999999997"/>
    <n v="1.3267183017785426E-2"/>
    <n v="15.519496469143384"/>
    <x v="1"/>
  </r>
  <r>
    <n v="2018"/>
    <s v="JSMR"/>
    <s v="PT Jasa Marga Tbk"/>
    <s v="Infrastructure"/>
    <n v="0.23"/>
    <n v="13.53"/>
    <n v="0.75"/>
    <n v="0.28000000000000003"/>
    <n v="0.01"/>
    <n v="11.974209395148906"/>
    <n v="0.13249999999999998"/>
    <n v="9.7500000000000031E-2"/>
    <n v="6.2634615384615414E-2"/>
    <n v="3.3527786306416938"/>
    <x v="3"/>
  </r>
  <r>
    <n v="2018"/>
    <s v="KLBF"/>
    <s v="Kalbe Farma Tbk"/>
    <s v="Health Care"/>
    <n v="0.12"/>
    <n v="27.98"/>
    <n v="0.72"/>
    <n v="0.33"/>
    <n v="0.01"/>
    <n v="56.340190359226284"/>
    <n v="0.18583333333333332"/>
    <n v="-6.5833333333333327E-2"/>
    <n v="1.277950953678474E-2"/>
    <n v="18.592262818544675"/>
    <x v="1"/>
  </r>
  <r>
    <n v="2018"/>
    <s v="SIDO"/>
    <s v="PT Industri Jamu Dan Farmasi Sido Muncul Tbk"/>
    <s v="Health Care"/>
    <n v="0.28999999999999998"/>
    <n v="21.55"/>
    <n v="0.67"/>
    <n v="0.57999999999999996"/>
    <n v="0.06"/>
    <n v="36.598096407737181"/>
    <n v="0.18583333333333332"/>
    <n v="0.10416666666666666"/>
    <n v="1.8306963087248322E-2"/>
    <n v="21.226895916487564"/>
    <x v="2"/>
  </r>
  <r>
    <n v="2018"/>
    <s v="TLKM"/>
    <s v="PT Telkom Indonesia (Persero) Tbk"/>
    <s v="Infrastructure"/>
    <n v="0.21"/>
    <n v="19.38"/>
    <n v="0.17"/>
    <n v="0.6"/>
    <n v="0.05"/>
    <n v="29.935523487872267"/>
    <n v="0.13249999999999998"/>
    <n v="7.7500000000000013E-2"/>
    <n v="5.6788717948717971E-3"/>
    <n v="17.961314092723359"/>
    <x v="2"/>
  </r>
  <r>
    <n v="2018"/>
    <s v="UNTR"/>
    <s v="United Tractors Tbk"/>
    <s v="Industrials"/>
    <n v="0.13"/>
    <n v="11.61"/>
    <n v="0.26"/>
    <n v="0.66"/>
    <n v="0.02"/>
    <n v="6.0792140006140576"/>
    <n v="0.10166666666666668"/>
    <n v="2.8333333333333321E-2"/>
    <n v="4.27686868686869E-2"/>
    <n v="4.0122812404052786"/>
    <x v="3"/>
  </r>
  <r>
    <n v="2018"/>
    <s v="UNVR"/>
    <s v="Unilever Indonesia Tbk"/>
    <s v="Consumer Staples"/>
    <n v="0.17"/>
    <n v="35.32"/>
    <n v="0.04"/>
    <n v="0.25"/>
    <n v="0.01"/>
    <n v="78.876266502916792"/>
    <n v="0.12000000000000004"/>
    <n v="4.9999999999999975E-2"/>
    <n v="5.0712339431685483E-4"/>
    <n v="19.719066625729198"/>
    <x v="0"/>
  </r>
</pivotCacheRecords>
</file>

<file path=xl/pivotCache/pivotCacheRecords2.xml><?xml version="1.0" encoding="utf-8"?>
<pivotCacheRecords xmlns="http://schemas.openxmlformats.org/spreadsheetml/2006/main" xmlns:r="http://schemas.openxmlformats.org/officeDocument/2006/relationships" count="90">
  <r>
    <s v="Aneka Tambang Tbk"/>
    <x v="0"/>
    <n v="0.05"/>
    <n v="34.72"/>
    <n v="0.36"/>
    <n v="0.14000000000000001"/>
    <n v="0.1"/>
    <n v="77.034080442124647"/>
    <n v="0.15"/>
  </r>
  <r>
    <s v="Astra Otoparts Tbk"/>
    <x v="1"/>
    <n v="0.11"/>
    <n v="28.14"/>
    <n v="0"/>
    <n v="0.16"/>
    <n v="7.0000000000000007E-2"/>
    <n v="56.831439975437512"/>
    <n v="0.12666666666666668"/>
  </r>
  <r>
    <s v="PT Bank Central Asia Tbk"/>
    <x v="2"/>
    <n v="0.03"/>
    <n v="21.2"/>
    <n v="0.15"/>
    <n v="0.49"/>
    <n v="0.03"/>
    <n v="35.523487872275098"/>
    <n v="6.433333333333334E-2"/>
  </r>
  <r>
    <s v="PT Bank Negara Indonesia (Persero) Tbk"/>
    <x v="2"/>
    <n v="0.02"/>
    <n v="22.9"/>
    <n v="0.12"/>
    <n v="0.34"/>
    <n v="0.02"/>
    <n v="40.743015044519488"/>
    <n v="6.433333333333334E-2"/>
  </r>
  <r>
    <s v="PT Bank Rakyat Indonesia (Persero) Tbk"/>
    <x v="2"/>
    <n v="0.03"/>
    <n v="17.7"/>
    <n v="0.15"/>
    <n v="0.28000000000000003"/>
    <n v="0.06"/>
    <n v="24.777402517654281"/>
    <n v="6.433333333333334E-2"/>
  </r>
  <r>
    <s v="PT Bank Tabungan Negara (Persero) Tbk"/>
    <x v="2"/>
    <n v="0.01"/>
    <n v="27.85"/>
    <n v="0.06"/>
    <n v="0.15"/>
    <n v="0.03"/>
    <n v="55.941050046054656"/>
    <n v="6.433333333333334E-2"/>
  </r>
  <r>
    <s v="PT Bank Mandiri (Persero) Tbk"/>
    <x v="2"/>
    <n v="0.03"/>
    <n v="17.25"/>
    <n v="0.12"/>
    <n v="0.43"/>
    <n v="0.02"/>
    <n v="23.395762972060176"/>
    <n v="6.433333333333334E-2"/>
  </r>
  <r>
    <s v="Indofood CBP Sukses Makmur Tbk"/>
    <x v="3"/>
    <n v="7.0000000000000007E-2"/>
    <n v="32.15"/>
    <n v="0"/>
    <n v="0.36"/>
    <n v="0.08"/>
    <n v="69.143383481731647"/>
    <n v="0.12000000000000004"/>
  </r>
  <r>
    <s v="Indofood Sukses Makmur Tbk"/>
    <x v="3"/>
    <n v="0.06"/>
    <n v="35.770000000000003"/>
    <n v="0.46"/>
    <n v="0.32"/>
    <n v="0.05"/>
    <n v="80.25790604851089"/>
    <n v="0.12000000000000004"/>
  </r>
  <r>
    <s v="PT Jasa Marga Tbk"/>
    <x v="4"/>
    <n v="0.05"/>
    <n v="10.3"/>
    <n v="0.7"/>
    <n v="0.45"/>
    <n v="0.02"/>
    <n v="2.0571077678845562"/>
    <n v="0.13249999999999998"/>
  </r>
  <r>
    <s v="Kalbe Farma Tbk"/>
    <x v="5"/>
    <n v="0.13"/>
    <n v="31.2"/>
    <n v="0.15"/>
    <n v="0.38"/>
    <n v="0.09"/>
    <n v="66.22658888547744"/>
    <n v="0.18583333333333332"/>
  </r>
  <r>
    <s v="PT Industri Jamu Dan Farmasi Sido Muncul Tbk"/>
    <x v="5"/>
    <n v="0.23"/>
    <n v="21.87"/>
    <n v="0"/>
    <n v="0.56999999999999995"/>
    <n v="0.05"/>
    <n v="37.580595640159657"/>
    <n v="0.18583333333333332"/>
  </r>
  <r>
    <s v="PT Telkom Indonesia (Persero) Tbk"/>
    <x v="4"/>
    <n v="0.11"/>
    <n v="25.4"/>
    <n v="0.46"/>
    <n v="0.61"/>
    <n v="0.08"/>
    <n v="48.418790297820074"/>
    <n v="0.13249999999999998"/>
  </r>
  <r>
    <s v="United Tractors Tbk"/>
    <x v="6"/>
    <n v="0.08"/>
    <n v="42.2"/>
    <n v="0"/>
    <n v="0.28000000000000003"/>
    <n v="0.04"/>
    <n v="100"/>
    <n v="0.10166666666666668"/>
  </r>
  <r>
    <s v="Unilever Indonesia Tbk"/>
    <x v="3"/>
    <n v="0.27"/>
    <n v="18.04"/>
    <n v="0.8"/>
    <n v="0.5"/>
    <n v="0.02"/>
    <n v="25.821307952103155"/>
    <n v="0.12000000000000004"/>
  </r>
  <r>
    <s v="Aneka Tambang Tbk"/>
    <x v="0"/>
    <n v="0.11"/>
    <n v="33.57"/>
    <n v="0.3"/>
    <n v="0.18"/>
    <n v="0.09"/>
    <n v="73.503223825606383"/>
    <n v="0.15"/>
  </r>
  <r>
    <s v="Astra Otoparts Tbk"/>
    <x v="1"/>
    <n v="0.08"/>
    <n v="27.5"/>
    <n v="0"/>
    <n v="0.14000000000000001"/>
    <n v="0.09"/>
    <n v="54.866441510592558"/>
    <n v="0.12666666666666668"/>
  </r>
  <r>
    <s v="PT Bank Central Asia Tbk"/>
    <x v="2"/>
    <n v="0.03"/>
    <n v="21"/>
    <n v="0.15"/>
    <n v="0.48"/>
    <n v="0.03"/>
    <n v="34.909425852011047"/>
    <n v="6.433333333333334E-2"/>
  </r>
  <r>
    <s v="PT Bank Negara Indonesia (Persero) Tbk"/>
    <x v="2"/>
    <n v="0.01"/>
    <n v="22.6"/>
    <n v="0.13"/>
    <n v="0.3"/>
    <n v="0.01"/>
    <n v="39.82192201412343"/>
    <n v="6.433333333333334E-2"/>
  </r>
  <r>
    <s v="PT Bank Rakyat Indonesia (Persero) Tbk"/>
    <x v="2"/>
    <n v="0.03"/>
    <n v="17.649999999999999"/>
    <n v="0.15"/>
    <n v="0.3"/>
    <n v="0.06"/>
    <n v="24.623887012588263"/>
    <n v="6.433333333333334E-2"/>
  </r>
  <r>
    <s v="PT Bank Tabungan Negara (Persero) Tbk"/>
    <x v="2"/>
    <n v="0"/>
    <n v="27.5"/>
    <n v="0.06"/>
    <n v="0.14000000000000001"/>
    <n v="0"/>
    <n v="54.866441510592558"/>
    <n v="6.433333333333334E-2"/>
  </r>
  <r>
    <s v="PT Bank Mandiri (Persero) Tbk"/>
    <x v="2"/>
    <n v="0.02"/>
    <n v="17.05"/>
    <n v="0.11"/>
    <n v="0.38"/>
    <n v="0.01"/>
    <n v="22.781700951796129"/>
    <n v="6.433333333333334E-2"/>
  </r>
  <r>
    <s v="Indofood CBP Sukses Makmur Tbk"/>
    <x v="3"/>
    <n v="0.05"/>
    <n v="31.9"/>
    <n v="0.01"/>
    <n v="0.34"/>
    <n v="7.0000000000000007E-2"/>
    <n v="68.375805956401578"/>
    <n v="0.12000000000000004"/>
  </r>
  <r>
    <s v="Indofood Sukses Makmur Tbk"/>
    <x v="3"/>
    <n v="0.06"/>
    <n v="35.46"/>
    <n v="0.48"/>
    <n v="0.31"/>
    <n v="0.03"/>
    <n v="79.306109917101622"/>
    <n v="0.12000000000000004"/>
  </r>
  <r>
    <s v="PT Jasa Marga Tbk"/>
    <x v="4"/>
    <n v="0.01"/>
    <n v="9.8800000000000008"/>
    <n v="0.72"/>
    <n v="0.48"/>
    <n v="0.01"/>
    <n v="0.7675775253300583"/>
    <n v="0.13249999999999998"/>
  </r>
  <r>
    <s v="Kalbe Farma Tbk"/>
    <x v="5"/>
    <n v="0.1"/>
    <n v="31"/>
    <n v="0.19"/>
    <n v="0.4"/>
    <n v="7.0000000000000007E-2"/>
    <n v="65.612526865213383"/>
    <n v="0.18583333333333332"/>
  </r>
  <r>
    <s v="PT Industri Jamu Dan Farmasi Sido Muncul Tbk"/>
    <x v="5"/>
    <n v="0.27"/>
    <n v="21.74"/>
    <n v="0"/>
    <n v="0.56000000000000005"/>
    <n v="0.03"/>
    <n v="37.181455326988015"/>
    <n v="0.18583333333333332"/>
  </r>
  <r>
    <s v="PT Telkom Indonesia (Persero) Tbk"/>
    <x v="4"/>
    <n v="0.11"/>
    <n v="25.3"/>
    <n v="0.46"/>
    <n v="0.63"/>
    <n v="0.06"/>
    <n v="48.111759287688052"/>
    <n v="0.13249999999999998"/>
  </r>
  <r>
    <s v="United Tractors Tbk"/>
    <x v="6"/>
    <n v="0.2"/>
    <n v="42"/>
    <n v="0"/>
    <n v="0.28000000000000003"/>
    <n v="0.03"/>
    <n v="99.385937979735957"/>
    <n v="0.10166666666666668"/>
  </r>
  <r>
    <s v="Unilever Indonesia Tbk"/>
    <x v="3"/>
    <n v="0.3"/>
    <n v="17.95"/>
    <n v="0.78"/>
    <n v="0.46"/>
    <n v="0"/>
    <n v="25.544980042984339"/>
    <n v="0.12000000000000004"/>
  </r>
  <r>
    <s v="Aneka Tambang Tbk"/>
    <x v="0"/>
    <n v="7.0000000000000007E-2"/>
    <n v="31.29"/>
    <n v="0.37"/>
    <n v="0.2"/>
    <n v="0.02"/>
    <n v="66.502916794596246"/>
    <n v="0.15"/>
  </r>
  <r>
    <s v="Astra Otoparts Tbk"/>
    <x v="1"/>
    <n v="0.04"/>
    <n v="26.23"/>
    <n v="0"/>
    <n v="0.12"/>
    <n v="0.04"/>
    <n v="50.967147681915883"/>
    <n v="0.12666666666666668"/>
  </r>
  <r>
    <s v="PT Bank Central Asia Tbk"/>
    <x v="2"/>
    <n v="0.03"/>
    <n v="20.6"/>
    <n v="0.14000000000000001"/>
    <n v="0.41"/>
    <n v="0"/>
    <n v="33.68130181148296"/>
    <n v="6.433333333333334E-2"/>
  </r>
  <r>
    <s v="PT Bank Negara Indonesia (Persero) Tbk"/>
    <x v="2"/>
    <n v="0.01"/>
    <n v="22.17"/>
    <n v="0.13"/>
    <n v="0.18"/>
    <n v="0.01"/>
    <n v="38.50168867055573"/>
    <n v="6.433333333333334E-2"/>
  </r>
  <r>
    <s v="PT Bank Rakyat Indonesia (Persero) Tbk"/>
    <x v="2"/>
    <n v="0.02"/>
    <n v="17.5"/>
    <n v="0.16"/>
    <n v="0.21"/>
    <n v="0.05"/>
    <n v="24.163340497390234"/>
    <n v="6.433333333333334E-2"/>
  </r>
  <r>
    <s v="PT Bank Tabungan Negara (Persero) Tbk"/>
    <x v="2"/>
    <n v="0"/>
    <n v="26.87"/>
    <n v="0.05"/>
    <n v="0.13"/>
    <n v="0.02"/>
    <n v="52.932146146760829"/>
    <n v="6.433333333333334E-2"/>
  </r>
  <r>
    <s v="PT Bank Mandiri (Persero) Tbk"/>
    <x v="2"/>
    <n v="0.02"/>
    <n v="16.88"/>
    <n v="0.11"/>
    <n v="0.32"/>
    <n v="0"/>
    <n v="22.259748234571685"/>
    <n v="6.433333333333334E-2"/>
  </r>
  <r>
    <s v="Indofood CBP Sukses Makmur Tbk"/>
    <x v="3"/>
    <n v="7.0000000000000007E-2"/>
    <n v="31.07"/>
    <n v="0.01"/>
    <n v="0.37"/>
    <n v="0.08"/>
    <n v="65.827448572305798"/>
    <n v="0.12000000000000004"/>
  </r>
  <r>
    <s v="Indofood Sukses Makmur Tbk"/>
    <x v="3"/>
    <n v="7.0000000000000007E-2"/>
    <n v="34.869999999999997"/>
    <n v="0.52"/>
    <n v="0.33"/>
    <n v="0.03"/>
    <n v="77.49462695732268"/>
    <n v="0.12000000000000004"/>
  </r>
  <r>
    <s v="PT Jasa Marga Tbk"/>
    <x v="4"/>
    <n v="0.01"/>
    <n v="9.6300000000000008"/>
    <n v="0.75"/>
    <n v="0.46"/>
    <n v="0.02"/>
    <n v="0"/>
    <n v="0.13249999999999998"/>
  </r>
  <r>
    <s v="Kalbe Farma Tbk"/>
    <x v="5"/>
    <n v="0.13"/>
    <n v="30.74"/>
    <n v="0.17"/>
    <n v="0.42"/>
    <n v="0.01"/>
    <n v="64.814246238870126"/>
    <n v="0.18583333333333332"/>
  </r>
  <r>
    <s v="PT Industri Jamu Dan Farmasi Sido Muncul Tbk"/>
    <x v="5"/>
    <n v="0.31"/>
    <n v="21.5"/>
    <n v="0"/>
    <n v="0.56999999999999995"/>
    <n v="0.02"/>
    <n v="36.44458090267117"/>
    <n v="0.18583333333333332"/>
  </r>
  <r>
    <s v="PT Telkom Indonesia (Persero) Tbk"/>
    <x v="4"/>
    <n v="0.13"/>
    <n v="24.84"/>
    <n v="0.48"/>
    <n v="0.63"/>
    <n v="0"/>
    <n v="46.699416641080745"/>
    <n v="0.13249999999999998"/>
  </r>
  <r>
    <s v="United Tractors Tbk"/>
    <x v="6"/>
    <n v="0.11"/>
    <n v="41.25"/>
    <n v="0"/>
    <n v="0.25"/>
    <n v="0.02"/>
    <n v="97.083205403745765"/>
    <n v="0.10166666666666668"/>
  </r>
  <r>
    <s v="Unilever Indonesia Tbk"/>
    <x v="3"/>
    <n v="0.3"/>
    <n v="17.68"/>
    <n v="0.77"/>
    <n v="0.5"/>
    <n v="0.03"/>
    <n v="24.715996315627876"/>
    <n v="0.12000000000000004"/>
  </r>
  <r>
    <s v="Aneka Tambang Tbk"/>
    <x v="0"/>
    <n v="0.18"/>
    <n v="13.48"/>
    <n v="0.73"/>
    <n v="0.41"/>
    <n v="0"/>
    <n v="11.820693890082898"/>
    <n v="0.15"/>
  </r>
  <r>
    <s v="Astra Otoparts Tbk"/>
    <x v="1"/>
    <n v="0.28000000000000003"/>
    <n v="35.89"/>
    <n v="0.2"/>
    <n v="0.35"/>
    <n v="0.02"/>
    <n v="80.626343260669316"/>
    <n v="0.12666666666666668"/>
  </r>
  <r>
    <s v="PT Bank Central Asia Tbk"/>
    <x v="2"/>
    <n v="7.0000000000000007E-2"/>
    <n v="19.93"/>
    <n v="0.6"/>
    <n v="0.17"/>
    <n v="0"/>
    <n v="31.624194043598404"/>
    <n v="6.433333333333334E-2"/>
  </r>
  <r>
    <s v="PT Bank Negara Indonesia (Persero) Tbk"/>
    <x v="2"/>
    <n v="0.02"/>
    <n v="11.91"/>
    <n v="0.18"/>
    <n v="0.3"/>
    <n v="0.01"/>
    <n v="7.0003070310101307"/>
    <n v="6.433333333333334E-2"/>
  </r>
  <r>
    <s v="PT Bank Rakyat Indonesia (Persero) Tbk"/>
    <x v="2"/>
    <n v="0.1"/>
    <n v="19.329999999999998"/>
    <n v="0.38"/>
    <n v="0.45"/>
    <n v="0.06"/>
    <n v="29.782007982806256"/>
    <n v="6.433333333333334E-2"/>
  </r>
  <r>
    <s v="PT Bank Tabungan Negara (Persero) Tbk"/>
    <x v="2"/>
    <n v="0.12"/>
    <n v="19.760000000000002"/>
    <n v="0.65"/>
    <n v="0.35"/>
    <n v="0.01"/>
    <n v="31.102241326373964"/>
    <n v="6.433333333333334E-2"/>
  </r>
  <r>
    <s v="PT Bank Mandiri (Persero) Tbk"/>
    <x v="2"/>
    <n v="0.09"/>
    <n v="31.89"/>
    <n v="0.65"/>
    <n v="0.3"/>
    <n v="7.0000000000000007E-2"/>
    <n v="68.34510285538839"/>
    <n v="6.433333333333334E-2"/>
  </r>
  <r>
    <s v="Indofood CBP Sukses Makmur Tbk"/>
    <x v="3"/>
    <n v="0.09"/>
    <n v="24.17"/>
    <n v="0.32"/>
    <n v="0.67"/>
    <n v="0.1"/>
    <n v="44.642308873196193"/>
    <n v="0.12000000000000004"/>
  </r>
  <r>
    <s v="Indofood Sukses Makmur Tbk"/>
    <x v="3"/>
    <n v="0.05"/>
    <n v="31.4"/>
    <n v="0.59"/>
    <n v="0.3"/>
    <n v="0.02"/>
    <n v="66.84065090574147"/>
    <n v="0.12000000000000004"/>
  </r>
  <r>
    <s v="PT Jasa Marga Tbk"/>
    <x v="4"/>
    <n v="0.3"/>
    <n v="33.130000000000003"/>
    <n v="0.64"/>
    <n v="0.45"/>
    <n v="0.02"/>
    <n v="72.152287381025488"/>
    <n v="0.13249999999999998"/>
  </r>
  <r>
    <s v="Kalbe Farma Tbk"/>
    <x v="5"/>
    <n v="0.23"/>
    <n v="24.81"/>
    <n v="0.49"/>
    <n v="0.59"/>
    <n v="7.0000000000000007E-2"/>
    <n v="46.607307338041139"/>
    <n v="0.18583333333333332"/>
  </r>
  <r>
    <s v="PT Industri Jamu Dan Farmasi Sido Muncul Tbk"/>
    <x v="5"/>
    <n v="0.01"/>
    <n v="22.83"/>
    <n v="0.61"/>
    <n v="0.59"/>
    <n v="0"/>
    <n v="40.528093337427073"/>
    <n v="0.18583333333333332"/>
  </r>
  <r>
    <s v="PT Telkom Indonesia (Persero) Tbk"/>
    <x v="4"/>
    <n v="0.23"/>
    <n v="29.09"/>
    <n v="0.1"/>
    <n v="0.56999999999999995"/>
    <n v="0.02"/>
    <n v="59.748234571691739"/>
    <n v="0.13249999999999998"/>
  </r>
  <r>
    <s v="United Tractors Tbk"/>
    <x v="6"/>
    <n v="0.03"/>
    <n v="19.43"/>
    <n v="0.31"/>
    <n v="0.45"/>
    <n v="0"/>
    <n v="30.089038992938281"/>
    <n v="0.10166666666666668"/>
  </r>
  <r>
    <s v="Unilever Indonesia Tbk"/>
    <x v="3"/>
    <n v="0.11"/>
    <n v="25.26"/>
    <n v="0.31"/>
    <n v="0.37"/>
    <n v="0.03"/>
    <n v="47.988946883635251"/>
    <n v="0.12000000000000004"/>
  </r>
  <r>
    <s v="Aneka Tambang Tbk"/>
    <x v="0"/>
    <n v="0.3"/>
    <n v="14.13"/>
    <n v="0.49"/>
    <n v="0.48"/>
    <n v="0.03"/>
    <n v="13.81639545594105"/>
    <n v="0.15"/>
  </r>
  <r>
    <s v="Astra Otoparts Tbk"/>
    <x v="1"/>
    <n v="0.08"/>
    <n v="20.23"/>
    <n v="0.01"/>
    <n v="0.57999999999999996"/>
    <n v="0.01"/>
    <n v="32.545287073994473"/>
    <n v="0.12666666666666668"/>
  </r>
  <r>
    <s v="PT Bank Central Asia Tbk"/>
    <x v="2"/>
    <n v="0.23"/>
    <n v="37.74"/>
    <n v="0.53"/>
    <n v="0.45"/>
    <n v="0.02"/>
    <n v="86.306416948111746"/>
    <n v="6.433333333333334E-2"/>
  </r>
  <r>
    <s v="PT Bank Negara Indonesia (Persero) Tbk"/>
    <x v="2"/>
    <n v="0.08"/>
    <n v="36.32"/>
    <n v="0"/>
    <n v="0.4"/>
    <n v="0"/>
    <n v="81.946576604237023"/>
    <n v="6.433333333333334E-2"/>
  </r>
  <r>
    <s v="PT Bank Rakyat Indonesia (Persero) Tbk"/>
    <x v="2"/>
    <n v="0.1"/>
    <n v="34.840000000000003"/>
    <n v="0.75"/>
    <n v="0.56000000000000005"/>
    <n v="0.04"/>
    <n v="77.402517654283088"/>
    <n v="6.433333333333334E-2"/>
  </r>
  <r>
    <s v="PT Bank Tabungan Negara (Persero) Tbk"/>
    <x v="2"/>
    <n v="0.09"/>
    <n v="24.9"/>
    <n v="0.66"/>
    <n v="0.66"/>
    <n v="0.02"/>
    <n v="46.883635247159958"/>
    <n v="6.433333333333334E-2"/>
  </r>
  <r>
    <s v="PT Bank Mandiri (Persero) Tbk"/>
    <x v="2"/>
    <n v="0.06"/>
    <n v="12.84"/>
    <n v="0.43"/>
    <n v="0.37"/>
    <n v="0.01"/>
    <n v="9.8556954252379469"/>
    <n v="6.433333333333334E-2"/>
  </r>
  <r>
    <s v="Indofood CBP Sukses Makmur Tbk"/>
    <x v="3"/>
    <n v="0.05"/>
    <n v="29.89"/>
    <n v="0.56000000000000005"/>
    <n v="0.25"/>
    <n v="0.04"/>
    <n v="62.204482652747913"/>
    <n v="0.12000000000000004"/>
  </r>
  <r>
    <s v="Indofood Sukses Makmur Tbk"/>
    <x v="3"/>
    <n v="0.04"/>
    <n v="16.61"/>
    <n v="0.24"/>
    <n v="0.38"/>
    <n v="0.05"/>
    <n v="21.430764507215226"/>
    <n v="0.12000000000000004"/>
  </r>
  <r>
    <s v="PT Jasa Marga Tbk"/>
    <x v="4"/>
    <n v="0.06"/>
    <n v="35.11"/>
    <n v="0.16"/>
    <n v="0.41"/>
    <n v="0.04"/>
    <n v="78.231501381639532"/>
    <n v="0.13249999999999998"/>
  </r>
  <r>
    <s v="Kalbe Farma Tbk"/>
    <x v="5"/>
    <n v="0.17"/>
    <n v="22.36"/>
    <n v="0.18"/>
    <n v="0.6"/>
    <n v="0"/>
    <n v="39.085047589806564"/>
    <n v="0.18583333333333332"/>
  </r>
  <r>
    <s v="PT Industri Jamu Dan Farmasi Sido Muncul Tbk"/>
    <x v="5"/>
    <n v="0.24"/>
    <n v="26.1"/>
    <n v="0.48"/>
    <n v="0.36"/>
    <n v="0.08"/>
    <n v="50.56800736874424"/>
    <n v="0.18583333333333332"/>
  </r>
  <r>
    <s v="PT Telkom Indonesia (Persero) Tbk"/>
    <x v="4"/>
    <n v="0.14000000000000001"/>
    <n v="13.66"/>
    <n v="0.55000000000000004"/>
    <n v="0.25"/>
    <n v="0.01"/>
    <n v="12.373349708320539"/>
    <n v="0.13249999999999998"/>
  </r>
  <r>
    <s v="United Tractors Tbk"/>
    <x v="6"/>
    <n v="0.06"/>
    <n v="14.13"/>
    <n v="0.53"/>
    <n v="0.46"/>
    <n v="0.02"/>
    <n v="13.81639545594105"/>
    <n v="0.10166666666666668"/>
  </r>
  <r>
    <s v="Unilever Indonesia Tbk"/>
    <x v="3"/>
    <n v="0.08"/>
    <n v="35.229999999999997"/>
    <n v="0.22"/>
    <n v="0.26"/>
    <n v="0.03"/>
    <n v="78.599938593797958"/>
    <n v="0.12000000000000004"/>
  </r>
  <r>
    <s v="Aneka Tambang Tbk"/>
    <x v="0"/>
    <n v="0.19"/>
    <n v="16.239999999999998"/>
    <n v="0.28999999999999998"/>
    <n v="0.37"/>
    <n v="0"/>
    <n v="20.294749769726735"/>
    <n v="0.15"/>
  </r>
  <r>
    <s v="Astra Otoparts Tbk"/>
    <x v="1"/>
    <n v="0.17"/>
    <n v="16.46"/>
    <n v="0.73"/>
    <n v="0.11"/>
    <n v="0.09"/>
    <n v="20.970217992017194"/>
    <n v="0.12666666666666668"/>
  </r>
  <r>
    <s v="PT Bank Central Asia Tbk"/>
    <x v="2"/>
    <n v="0.24"/>
    <n v="17.48"/>
    <n v="0.37"/>
    <n v="0.32"/>
    <n v="0.01"/>
    <n v="24.101934295363829"/>
    <n v="6.433333333333334E-2"/>
  </r>
  <r>
    <s v="PT Bank Negara Indonesia (Persero) Tbk"/>
    <x v="2"/>
    <n v="0.15"/>
    <n v="37.700000000000003"/>
    <n v="0.03"/>
    <n v="0.26"/>
    <n v="0"/>
    <n v="86.183604544058952"/>
    <n v="6.433333333333334E-2"/>
  </r>
  <r>
    <s v="PT Bank Rakyat Indonesia (Persero) Tbk"/>
    <x v="2"/>
    <n v="0.09"/>
    <n v="38.08"/>
    <n v="0.18"/>
    <n v="0.34"/>
    <n v="0.05"/>
    <n v="87.350322382560634"/>
    <n v="6.433333333333334E-2"/>
  </r>
  <r>
    <s v="PT Bank Tabungan Negara (Persero) Tbk"/>
    <x v="2"/>
    <n v="0.14000000000000001"/>
    <n v="31.73"/>
    <n v="0.42"/>
    <n v="0.17"/>
    <n v="0.03"/>
    <n v="67.85385323917717"/>
    <n v="6.433333333333334E-2"/>
  </r>
  <r>
    <s v="PT Bank Mandiri (Persero) Tbk"/>
    <x v="2"/>
    <n v="0.06"/>
    <n v="18.559999999999999"/>
    <n v="0.51"/>
    <n v="0.12"/>
    <n v="7.0000000000000007E-2"/>
    <n v="27.417869204789682"/>
    <n v="6.433333333333334E-2"/>
  </r>
  <r>
    <s v="Indofood CBP Sukses Makmur Tbk"/>
    <x v="3"/>
    <n v="0.05"/>
    <n v="20.73"/>
    <n v="0.49"/>
    <n v="0.69"/>
    <n v="0.08"/>
    <n v="34.080442124654589"/>
    <n v="0.12000000000000004"/>
  </r>
  <r>
    <s v="Indofood Sukses Makmur Tbk"/>
    <x v="3"/>
    <n v="0.27"/>
    <n v="27.06"/>
    <n v="0.71"/>
    <n v="0.28999999999999998"/>
    <n v="0"/>
    <n v="53.51550506601167"/>
    <n v="0.12000000000000004"/>
  </r>
  <r>
    <s v="PT Jasa Marga Tbk"/>
    <x v="4"/>
    <n v="0.23"/>
    <n v="13.53"/>
    <n v="0.75"/>
    <n v="0.28000000000000003"/>
    <n v="0.01"/>
    <n v="11.974209395148906"/>
    <n v="0.13249999999999998"/>
  </r>
  <r>
    <s v="Kalbe Farma Tbk"/>
    <x v="5"/>
    <n v="0.12"/>
    <n v="27.98"/>
    <n v="0.72"/>
    <n v="0.33"/>
    <n v="0.01"/>
    <n v="56.340190359226284"/>
    <n v="0.18583333333333332"/>
  </r>
  <r>
    <s v="PT Industri Jamu Dan Farmasi Sido Muncul Tbk"/>
    <x v="5"/>
    <n v="0.28999999999999998"/>
    <n v="21.55"/>
    <n v="0.67"/>
    <n v="0.57999999999999996"/>
    <n v="0.06"/>
    <n v="36.598096407737181"/>
    <n v="0.18583333333333332"/>
  </r>
  <r>
    <s v="PT Telkom Indonesia (Persero) Tbk"/>
    <x v="4"/>
    <n v="0.21"/>
    <n v="19.38"/>
    <n v="0.17"/>
    <n v="0.6"/>
    <n v="0.05"/>
    <n v="29.935523487872267"/>
    <n v="0.13249999999999998"/>
  </r>
  <r>
    <s v="United Tractors Tbk"/>
    <x v="6"/>
    <n v="0.13"/>
    <n v="11.61"/>
    <n v="0.26"/>
    <n v="0.66"/>
    <n v="0.02"/>
    <n v="6.0792140006140576"/>
    <n v="0.10166666666666668"/>
  </r>
  <r>
    <s v="Unilever Indonesia Tbk"/>
    <x v="3"/>
    <n v="0.17"/>
    <n v="35.32"/>
    <n v="0.04"/>
    <n v="0.25"/>
    <n v="0.01"/>
    <n v="78.876266502916792"/>
    <n v="0.12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C8" firstHeaderRow="0" firstDataRow="1" firstDataCol="1"/>
  <pivotFields count="15">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axis="axisRow" showAll="0">
      <items count="5">
        <item x="1"/>
        <item x="3"/>
        <item x="2"/>
        <item x="0"/>
        <item t="default"/>
      </items>
    </pivotField>
  </pivotFields>
  <rowFields count="1">
    <field x="14"/>
  </rowFields>
  <rowItems count="5">
    <i>
      <x/>
    </i>
    <i>
      <x v="1"/>
    </i>
    <i>
      <x v="2"/>
    </i>
    <i>
      <x v="3"/>
    </i>
    <i t="grand">
      <x/>
    </i>
  </rowItems>
  <colFields count="1">
    <field x="-2"/>
  </colFields>
  <colItems count="2">
    <i>
      <x/>
    </i>
    <i i="1">
      <x v="1"/>
    </i>
  </colItems>
  <dataFields count="2">
    <dataField name="Sum of RoA" fld="4" baseField="0" baseItem="0"/>
    <dataField name="Sum of Sector Average ROA" fld="10" baseField="0" baseItem="0"/>
  </dataField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D11" firstHeaderRow="0" firstDataRow="1" firstDataCol="1"/>
  <pivotFields count="9">
    <pivotField showAll="0"/>
    <pivotField axis="axisRow" showAll="0">
      <items count="8">
        <item x="0"/>
        <item x="1"/>
        <item x="3"/>
        <item x="2"/>
        <item x="5"/>
        <item x="6"/>
        <item x="4"/>
        <item t="default"/>
      </items>
    </pivotField>
    <pivotField showAll="0"/>
    <pivotField showAll="0"/>
    <pivotField showAll="0"/>
    <pivotField showAll="0"/>
    <pivotField dataField="1" showAll="0"/>
    <pivotField dataField="1" showAll="0"/>
    <pivotField dataField="1" showAll="0"/>
  </pivotFields>
  <rowFields count="1">
    <field x="1"/>
  </rowFields>
  <rowItems count="8">
    <i>
      <x/>
    </i>
    <i>
      <x v="1"/>
    </i>
    <i>
      <x v="2"/>
    </i>
    <i>
      <x v="3"/>
    </i>
    <i>
      <x v="4"/>
    </i>
    <i>
      <x v="5"/>
    </i>
    <i>
      <x v="6"/>
    </i>
    <i t="grand">
      <x/>
    </i>
  </rowItems>
  <colFields count="1">
    <field x="-2"/>
  </colFields>
  <colItems count="3">
    <i>
      <x/>
    </i>
    <i i="1">
      <x v="1"/>
    </i>
    <i i="2">
      <x v="2"/>
    </i>
  </colItems>
  <dataFields count="3">
    <dataField name="Sum of ESG_Normalized" fld="7" baseField="0" baseItem="0"/>
    <dataField name="Sum of Tobin's Q" fld="6" baseField="0" baseItem="0"/>
    <dataField name="Sum of Sector Average ROA" fld="8" baseField="0" baseItem="0"/>
  </dataFields>
  <formats count="1">
    <format dxfId="0">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8"/>
  <sheetViews>
    <sheetView workbookViewId="0">
      <selection activeCell="K2" sqref="K2"/>
    </sheetView>
  </sheetViews>
  <sheetFormatPr defaultRowHeight="15" x14ac:dyDescent="0.25"/>
  <cols>
    <col min="1" max="1" width="6" customWidth="1"/>
    <col min="2" max="2" width="7.5703125" customWidth="1"/>
    <col min="3" max="3" width="24.28515625" customWidth="1"/>
    <col min="4" max="4" width="18.7109375" customWidth="1"/>
    <col min="5" max="5" width="6.28515625" customWidth="1"/>
    <col min="6" max="6" width="15.85546875" customWidth="1"/>
    <col min="7" max="7" width="13.5703125" customWidth="1"/>
    <col min="8" max="8" width="17.85546875" customWidth="1"/>
    <col min="9" max="9" width="9.140625" customWidth="1"/>
    <col min="10" max="10" width="12.28515625" customWidth="1"/>
    <col min="11" max="11" width="15.5703125" customWidth="1"/>
    <col min="12" max="12" width="21.140625" customWidth="1"/>
    <col min="13" max="13" width="20" customWidth="1"/>
  </cols>
  <sheetData>
    <row r="1" spans="1:9" x14ac:dyDescent="0.25">
      <c r="A1" s="2" t="s">
        <v>0</v>
      </c>
      <c r="B1" s="2" t="s">
        <v>1</v>
      </c>
      <c r="C1" s="2" t="s">
        <v>2</v>
      </c>
      <c r="D1" s="2" t="s">
        <v>3</v>
      </c>
      <c r="E1" s="2" t="s">
        <v>4</v>
      </c>
      <c r="F1" s="2" t="s">
        <v>5</v>
      </c>
      <c r="G1" s="2" t="s">
        <v>6</v>
      </c>
      <c r="H1" s="2" t="s">
        <v>7</v>
      </c>
      <c r="I1" s="2" t="s">
        <v>8</v>
      </c>
    </row>
    <row r="2" spans="1:9" x14ac:dyDescent="0.25">
      <c r="A2" s="1">
        <v>2023</v>
      </c>
      <c r="B2" s="1" t="s">
        <v>9</v>
      </c>
      <c r="C2" s="1" t="s">
        <v>10</v>
      </c>
      <c r="D2" s="1" t="s">
        <v>11</v>
      </c>
      <c r="E2" s="1">
        <v>0.05</v>
      </c>
      <c r="F2" s="5">
        <v>34.72</v>
      </c>
      <c r="G2" s="1">
        <v>0.36</v>
      </c>
      <c r="H2" s="1">
        <v>0.14000000000000001</v>
      </c>
      <c r="I2" s="1">
        <v>0.1</v>
      </c>
    </row>
    <row r="3" spans="1:9" x14ac:dyDescent="0.25">
      <c r="A3" s="1">
        <v>2023</v>
      </c>
      <c r="B3" s="1" t="s">
        <v>12</v>
      </c>
      <c r="C3" s="1" t="s">
        <v>13</v>
      </c>
      <c r="D3" s="1" t="s">
        <v>14</v>
      </c>
      <c r="E3" s="1">
        <v>0.11</v>
      </c>
      <c r="F3" s="5">
        <v>28.14</v>
      </c>
      <c r="G3" s="1">
        <v>0</v>
      </c>
      <c r="H3" s="1">
        <v>0.16</v>
      </c>
      <c r="I3" s="1">
        <v>7.0000000000000007E-2</v>
      </c>
    </row>
    <row r="4" spans="1:9" x14ac:dyDescent="0.25">
      <c r="A4" s="1">
        <v>2023</v>
      </c>
      <c r="B4" s="1" t="s">
        <v>15</v>
      </c>
      <c r="C4" s="1" t="s">
        <v>16</v>
      </c>
      <c r="D4" s="1" t="s">
        <v>17</v>
      </c>
      <c r="E4" s="1">
        <v>0.03</v>
      </c>
      <c r="F4" s="5">
        <v>21.2</v>
      </c>
      <c r="G4" s="1">
        <v>0.15</v>
      </c>
      <c r="H4" s="1">
        <v>0.49</v>
      </c>
      <c r="I4" s="1">
        <v>0.03</v>
      </c>
    </row>
    <row r="5" spans="1:9" x14ac:dyDescent="0.25">
      <c r="A5" s="1">
        <v>2023</v>
      </c>
      <c r="B5" s="1" t="s">
        <v>18</v>
      </c>
      <c r="C5" s="1" t="s">
        <v>19</v>
      </c>
      <c r="D5" s="1" t="s">
        <v>17</v>
      </c>
      <c r="E5" s="1">
        <v>0.02</v>
      </c>
      <c r="F5" s="5">
        <v>22.9</v>
      </c>
      <c r="G5" s="1">
        <v>0.12</v>
      </c>
      <c r="H5" s="1">
        <v>0.34</v>
      </c>
      <c r="I5" s="1">
        <v>0.02</v>
      </c>
    </row>
    <row r="6" spans="1:9" x14ac:dyDescent="0.25">
      <c r="A6" s="1">
        <v>2023</v>
      </c>
      <c r="B6" s="1" t="s">
        <v>20</v>
      </c>
      <c r="C6" s="1" t="s">
        <v>21</v>
      </c>
      <c r="D6" s="1" t="s">
        <v>17</v>
      </c>
      <c r="E6" s="1">
        <v>0.03</v>
      </c>
      <c r="F6" s="5">
        <v>17.7</v>
      </c>
      <c r="G6" s="1">
        <v>0.15</v>
      </c>
      <c r="H6" s="1">
        <v>0.28000000000000003</v>
      </c>
      <c r="I6" s="1">
        <v>0.06</v>
      </c>
    </row>
    <row r="7" spans="1:9" x14ac:dyDescent="0.25">
      <c r="A7" s="1">
        <v>2023</v>
      </c>
      <c r="B7" s="1" t="s">
        <v>22</v>
      </c>
      <c r="C7" s="1" t="s">
        <v>23</v>
      </c>
      <c r="D7" s="1" t="s">
        <v>17</v>
      </c>
      <c r="E7" s="1">
        <v>0.01</v>
      </c>
      <c r="F7" s="5">
        <v>27.85</v>
      </c>
      <c r="G7" s="1">
        <v>0.06</v>
      </c>
      <c r="H7" s="1">
        <v>0.15</v>
      </c>
      <c r="I7" s="1">
        <v>0.03</v>
      </c>
    </row>
    <row r="8" spans="1:9" x14ac:dyDescent="0.25">
      <c r="A8" s="1">
        <v>2023</v>
      </c>
      <c r="B8" s="1" t="s">
        <v>24</v>
      </c>
      <c r="C8" s="1" t="s">
        <v>25</v>
      </c>
      <c r="D8" s="1" t="s">
        <v>17</v>
      </c>
      <c r="E8" s="1">
        <v>0.03</v>
      </c>
      <c r="F8" s="5">
        <v>17.25</v>
      </c>
      <c r="G8" s="1">
        <v>0.12</v>
      </c>
      <c r="H8" s="1">
        <v>0.43</v>
      </c>
      <c r="I8" s="1">
        <v>0.02</v>
      </c>
    </row>
    <row r="9" spans="1:9" x14ac:dyDescent="0.25">
      <c r="A9" s="1">
        <v>2023</v>
      </c>
      <c r="B9" s="1" t="s">
        <v>26</v>
      </c>
      <c r="C9" s="1" t="s">
        <v>27</v>
      </c>
      <c r="D9" s="1" t="s">
        <v>28</v>
      </c>
      <c r="E9" s="1">
        <v>7.0000000000000007E-2</v>
      </c>
      <c r="F9" s="5">
        <v>32.15</v>
      </c>
      <c r="G9" s="1">
        <v>0</v>
      </c>
      <c r="H9" s="1">
        <v>0.36</v>
      </c>
      <c r="I9" s="1">
        <v>0.08</v>
      </c>
    </row>
    <row r="10" spans="1:9" x14ac:dyDescent="0.25">
      <c r="A10" s="1">
        <v>2023</v>
      </c>
      <c r="B10" s="1" t="s">
        <v>29</v>
      </c>
      <c r="C10" s="1" t="s">
        <v>30</v>
      </c>
      <c r="D10" s="1" t="s">
        <v>28</v>
      </c>
      <c r="E10" s="1">
        <v>0.06</v>
      </c>
      <c r="F10" s="6">
        <v>35.770000000000003</v>
      </c>
      <c r="G10" s="1">
        <v>0.46</v>
      </c>
      <c r="H10" s="1">
        <v>0.32</v>
      </c>
      <c r="I10" s="1">
        <v>0.05</v>
      </c>
    </row>
    <row r="11" spans="1:9" x14ac:dyDescent="0.25">
      <c r="A11" s="1">
        <v>2023</v>
      </c>
      <c r="B11" s="1" t="s">
        <v>31</v>
      </c>
      <c r="C11" s="1" t="s">
        <v>32</v>
      </c>
      <c r="D11" s="1" t="s">
        <v>33</v>
      </c>
      <c r="E11" s="1">
        <v>0.05</v>
      </c>
      <c r="F11" s="5">
        <v>10.3</v>
      </c>
      <c r="G11" s="1">
        <v>0.7</v>
      </c>
      <c r="H11" s="1">
        <v>0.45</v>
      </c>
      <c r="I11" s="1">
        <v>0.02</v>
      </c>
    </row>
    <row r="12" spans="1:9" x14ac:dyDescent="0.25">
      <c r="A12" s="1">
        <v>2023</v>
      </c>
      <c r="B12" s="1" t="s">
        <v>34</v>
      </c>
      <c r="C12" s="1" t="s">
        <v>35</v>
      </c>
      <c r="D12" s="1" t="s">
        <v>36</v>
      </c>
      <c r="E12" s="1">
        <v>0.13</v>
      </c>
      <c r="F12" s="5">
        <v>31.2</v>
      </c>
      <c r="G12" s="1">
        <v>0.15</v>
      </c>
      <c r="H12" s="1">
        <v>0.38</v>
      </c>
      <c r="I12" s="1">
        <v>0.09</v>
      </c>
    </row>
    <row r="13" spans="1:9" x14ac:dyDescent="0.25">
      <c r="A13" s="1">
        <v>2023</v>
      </c>
      <c r="B13" s="1" t="s">
        <v>37</v>
      </c>
      <c r="C13" s="1" t="s">
        <v>38</v>
      </c>
      <c r="D13" s="1" t="s">
        <v>36</v>
      </c>
      <c r="E13" s="1">
        <v>0.23</v>
      </c>
      <c r="F13" s="5">
        <v>21.87</v>
      </c>
      <c r="G13" s="1">
        <v>0</v>
      </c>
      <c r="H13" s="1">
        <v>0.56999999999999995</v>
      </c>
      <c r="I13" s="1">
        <v>0.05</v>
      </c>
    </row>
    <row r="14" spans="1:9" x14ac:dyDescent="0.25">
      <c r="A14" s="1">
        <v>2023</v>
      </c>
      <c r="B14" s="1" t="s">
        <v>39</v>
      </c>
      <c r="C14" s="1" t="s">
        <v>40</v>
      </c>
      <c r="D14" s="1" t="s">
        <v>33</v>
      </c>
      <c r="E14" s="1">
        <v>0.11</v>
      </c>
      <c r="F14" s="5">
        <v>25.4</v>
      </c>
      <c r="G14" s="1">
        <v>0.46</v>
      </c>
      <c r="H14" s="1">
        <v>0.61</v>
      </c>
      <c r="I14" s="1">
        <v>0.08</v>
      </c>
    </row>
    <row r="15" spans="1:9" x14ac:dyDescent="0.25">
      <c r="A15" s="1">
        <v>2023</v>
      </c>
      <c r="B15" s="1" t="s">
        <v>41</v>
      </c>
      <c r="C15" s="1" t="s">
        <v>42</v>
      </c>
      <c r="D15" s="1" t="s">
        <v>43</v>
      </c>
      <c r="E15" s="1">
        <v>0.08</v>
      </c>
      <c r="F15" s="5">
        <v>42.2</v>
      </c>
      <c r="G15" s="1">
        <v>0</v>
      </c>
      <c r="H15" s="1">
        <v>0.28000000000000003</v>
      </c>
      <c r="I15" s="1">
        <v>0.04</v>
      </c>
    </row>
    <row r="16" spans="1:9" x14ac:dyDescent="0.25">
      <c r="A16" s="1">
        <v>2023</v>
      </c>
      <c r="B16" s="1" t="s">
        <v>44</v>
      </c>
      <c r="C16" s="1" t="s">
        <v>45</v>
      </c>
      <c r="D16" s="1" t="s">
        <v>28</v>
      </c>
      <c r="E16" s="1">
        <v>0.27</v>
      </c>
      <c r="F16" s="5">
        <v>18.04</v>
      </c>
      <c r="G16" s="1">
        <v>0.8</v>
      </c>
      <c r="H16" s="1">
        <v>0.5</v>
      </c>
      <c r="I16" s="1">
        <v>0.02</v>
      </c>
    </row>
    <row r="17" spans="1:9" x14ac:dyDescent="0.25">
      <c r="A17" s="1">
        <v>2022</v>
      </c>
      <c r="B17" s="1" t="s">
        <v>9</v>
      </c>
      <c r="C17" s="1" t="s">
        <v>10</v>
      </c>
      <c r="D17" s="1" t="s">
        <v>11</v>
      </c>
      <c r="E17" s="1">
        <v>0.11</v>
      </c>
      <c r="F17" s="5">
        <v>33.57</v>
      </c>
      <c r="G17" s="1">
        <v>0.3</v>
      </c>
      <c r="H17" s="1">
        <v>0.18</v>
      </c>
      <c r="I17" s="1">
        <v>0.09</v>
      </c>
    </row>
    <row r="18" spans="1:9" x14ac:dyDescent="0.25">
      <c r="A18" s="1">
        <v>2022</v>
      </c>
      <c r="B18" s="1" t="s">
        <v>12</v>
      </c>
      <c r="C18" s="1" t="s">
        <v>13</v>
      </c>
      <c r="D18" s="1" t="s">
        <v>14</v>
      </c>
      <c r="E18" s="1">
        <v>0.08</v>
      </c>
      <c r="F18" s="5">
        <v>27.5</v>
      </c>
      <c r="G18" s="1">
        <v>0</v>
      </c>
      <c r="H18" s="1">
        <v>0.14000000000000001</v>
      </c>
      <c r="I18" s="1">
        <v>0.09</v>
      </c>
    </row>
    <row r="19" spans="1:9" x14ac:dyDescent="0.25">
      <c r="A19" s="1">
        <v>2022</v>
      </c>
      <c r="B19" s="1" t="s">
        <v>15</v>
      </c>
      <c r="C19" s="1" t="s">
        <v>16</v>
      </c>
      <c r="D19" s="1" t="s">
        <v>17</v>
      </c>
      <c r="E19" s="1">
        <v>0.03</v>
      </c>
      <c r="F19" s="5">
        <v>21</v>
      </c>
      <c r="G19" s="1">
        <v>0.15</v>
      </c>
      <c r="H19" s="1">
        <v>0.48</v>
      </c>
      <c r="I19" s="1">
        <v>0.03</v>
      </c>
    </row>
    <row r="20" spans="1:9" x14ac:dyDescent="0.25">
      <c r="A20" s="1">
        <v>2022</v>
      </c>
      <c r="B20" s="1" t="s">
        <v>18</v>
      </c>
      <c r="C20" s="1" t="s">
        <v>19</v>
      </c>
      <c r="D20" s="1" t="s">
        <v>17</v>
      </c>
      <c r="E20" s="1">
        <v>0.01</v>
      </c>
      <c r="F20" s="5">
        <v>22.6</v>
      </c>
      <c r="G20" s="1">
        <v>0.13</v>
      </c>
      <c r="H20" s="1">
        <v>0.3</v>
      </c>
      <c r="I20" s="1">
        <v>0.01</v>
      </c>
    </row>
    <row r="21" spans="1:9" x14ac:dyDescent="0.25">
      <c r="A21" s="1">
        <v>2022</v>
      </c>
      <c r="B21" s="1" t="s">
        <v>20</v>
      </c>
      <c r="C21" s="1" t="s">
        <v>21</v>
      </c>
      <c r="D21" s="1" t="s">
        <v>17</v>
      </c>
      <c r="E21" s="1">
        <v>0.03</v>
      </c>
      <c r="F21" s="5">
        <v>17.649999999999999</v>
      </c>
      <c r="G21" s="1">
        <v>0.15</v>
      </c>
      <c r="H21" s="1">
        <v>0.3</v>
      </c>
      <c r="I21" s="1">
        <v>0.06</v>
      </c>
    </row>
    <row r="22" spans="1:9" x14ac:dyDescent="0.25">
      <c r="A22" s="1">
        <v>2022</v>
      </c>
      <c r="B22" s="1" t="s">
        <v>22</v>
      </c>
      <c r="C22" s="1" t="s">
        <v>23</v>
      </c>
      <c r="D22" s="1" t="s">
        <v>17</v>
      </c>
      <c r="E22" s="1">
        <v>0</v>
      </c>
      <c r="F22" s="5">
        <v>27.5</v>
      </c>
      <c r="G22" s="1">
        <v>0.06</v>
      </c>
      <c r="H22" s="1">
        <v>0.14000000000000001</v>
      </c>
      <c r="I22" s="1">
        <v>0</v>
      </c>
    </row>
    <row r="23" spans="1:9" x14ac:dyDescent="0.25">
      <c r="A23" s="1">
        <v>2022</v>
      </c>
      <c r="B23" s="1" t="s">
        <v>24</v>
      </c>
      <c r="C23" s="1" t="s">
        <v>25</v>
      </c>
      <c r="D23" s="1" t="s">
        <v>17</v>
      </c>
      <c r="E23" s="1">
        <v>0.02</v>
      </c>
      <c r="F23" s="5">
        <v>17.05</v>
      </c>
      <c r="G23" s="1">
        <v>0.11</v>
      </c>
      <c r="H23" s="1">
        <v>0.38</v>
      </c>
      <c r="I23" s="1">
        <v>0.01</v>
      </c>
    </row>
    <row r="24" spans="1:9" x14ac:dyDescent="0.25">
      <c r="A24" s="1">
        <v>2022</v>
      </c>
      <c r="B24" s="1" t="s">
        <v>26</v>
      </c>
      <c r="C24" s="1" t="s">
        <v>27</v>
      </c>
      <c r="D24" s="1" t="s">
        <v>28</v>
      </c>
      <c r="E24" s="1">
        <v>0.05</v>
      </c>
      <c r="F24" s="5">
        <v>31.9</v>
      </c>
      <c r="G24" s="1">
        <v>0.01</v>
      </c>
      <c r="H24" s="1">
        <v>0.34</v>
      </c>
      <c r="I24" s="1">
        <v>7.0000000000000007E-2</v>
      </c>
    </row>
    <row r="25" spans="1:9" x14ac:dyDescent="0.25">
      <c r="A25" s="1">
        <v>2022</v>
      </c>
      <c r="B25" s="1" t="s">
        <v>29</v>
      </c>
      <c r="C25" s="1" t="s">
        <v>30</v>
      </c>
      <c r="D25" s="1" t="s">
        <v>28</v>
      </c>
      <c r="E25" s="1">
        <v>0.06</v>
      </c>
      <c r="F25" s="5">
        <v>35.46</v>
      </c>
      <c r="G25" s="1">
        <v>0.48</v>
      </c>
      <c r="H25" s="1">
        <v>0.31</v>
      </c>
      <c r="I25" s="1">
        <v>0.03</v>
      </c>
    </row>
    <row r="26" spans="1:9" x14ac:dyDescent="0.25">
      <c r="A26" s="1">
        <v>2022</v>
      </c>
      <c r="B26" s="1" t="s">
        <v>31</v>
      </c>
      <c r="C26" s="1" t="s">
        <v>32</v>
      </c>
      <c r="D26" s="1" t="s">
        <v>33</v>
      </c>
      <c r="E26" s="1">
        <v>0.01</v>
      </c>
      <c r="F26" s="5">
        <v>9.8800000000000008</v>
      </c>
      <c r="G26" s="1">
        <v>0.72</v>
      </c>
      <c r="H26" s="1">
        <v>0.48</v>
      </c>
      <c r="I26" s="1">
        <v>0.01</v>
      </c>
    </row>
    <row r="27" spans="1:9" x14ac:dyDescent="0.25">
      <c r="A27" s="1">
        <v>2022</v>
      </c>
      <c r="B27" s="1" t="s">
        <v>34</v>
      </c>
      <c r="C27" s="1" t="s">
        <v>35</v>
      </c>
      <c r="D27" s="1" t="s">
        <v>36</v>
      </c>
      <c r="E27" s="1">
        <v>0.1</v>
      </c>
      <c r="F27" s="5">
        <v>31</v>
      </c>
      <c r="G27" s="1">
        <v>0.19</v>
      </c>
      <c r="H27" s="1">
        <v>0.4</v>
      </c>
      <c r="I27" s="1">
        <v>7.0000000000000007E-2</v>
      </c>
    </row>
    <row r="28" spans="1:9" x14ac:dyDescent="0.25">
      <c r="A28" s="1">
        <v>2022</v>
      </c>
      <c r="B28" s="1" t="s">
        <v>37</v>
      </c>
      <c r="C28" s="1" t="s">
        <v>38</v>
      </c>
      <c r="D28" s="1" t="s">
        <v>36</v>
      </c>
      <c r="E28" s="1">
        <v>0.27</v>
      </c>
      <c r="F28" s="5">
        <v>21.74</v>
      </c>
      <c r="G28" s="1">
        <v>0</v>
      </c>
      <c r="H28" s="1">
        <v>0.56000000000000005</v>
      </c>
      <c r="I28" s="1">
        <v>0.03</v>
      </c>
    </row>
    <row r="29" spans="1:9" x14ac:dyDescent="0.25">
      <c r="A29" s="1">
        <v>2022</v>
      </c>
      <c r="B29" s="1" t="s">
        <v>39</v>
      </c>
      <c r="C29" s="1" t="s">
        <v>40</v>
      </c>
      <c r="D29" s="1" t="s">
        <v>33</v>
      </c>
      <c r="E29" s="1">
        <v>0.11</v>
      </c>
      <c r="F29" s="5">
        <v>25.3</v>
      </c>
      <c r="G29" s="1">
        <v>0.46</v>
      </c>
      <c r="H29" s="1">
        <v>0.63</v>
      </c>
      <c r="I29" s="1">
        <v>0.06</v>
      </c>
    </row>
    <row r="30" spans="1:9" x14ac:dyDescent="0.25">
      <c r="A30" s="1">
        <v>2022</v>
      </c>
      <c r="B30" s="1" t="s">
        <v>41</v>
      </c>
      <c r="C30" s="1" t="s">
        <v>42</v>
      </c>
      <c r="D30" s="1" t="s">
        <v>43</v>
      </c>
      <c r="E30" s="1">
        <v>0.2</v>
      </c>
      <c r="F30" s="5">
        <v>42</v>
      </c>
      <c r="G30" s="1">
        <v>0</v>
      </c>
      <c r="H30" s="1">
        <v>0.28000000000000003</v>
      </c>
      <c r="I30" s="1">
        <v>0.03</v>
      </c>
    </row>
    <row r="31" spans="1:9" x14ac:dyDescent="0.25">
      <c r="A31" s="1">
        <v>2022</v>
      </c>
      <c r="B31" s="1" t="s">
        <v>44</v>
      </c>
      <c r="C31" s="1" t="s">
        <v>45</v>
      </c>
      <c r="D31" s="1" t="s">
        <v>28</v>
      </c>
      <c r="E31" s="1">
        <v>0.3</v>
      </c>
      <c r="F31" s="5">
        <v>17.95</v>
      </c>
      <c r="G31" s="1">
        <v>0.78</v>
      </c>
      <c r="H31" s="1">
        <v>0.46</v>
      </c>
      <c r="I31" s="1">
        <v>0</v>
      </c>
    </row>
    <row r="32" spans="1:9" x14ac:dyDescent="0.25">
      <c r="A32" s="1">
        <v>2021</v>
      </c>
      <c r="B32" s="1" t="s">
        <v>9</v>
      </c>
      <c r="C32" s="1" t="s">
        <v>10</v>
      </c>
      <c r="D32" s="1" t="s">
        <v>11</v>
      </c>
      <c r="E32" s="1">
        <v>7.0000000000000007E-2</v>
      </c>
      <c r="F32" s="5">
        <v>31.29</v>
      </c>
      <c r="G32" s="1">
        <v>0.37</v>
      </c>
      <c r="H32" s="1">
        <v>0.2</v>
      </c>
      <c r="I32" s="1">
        <v>0.02</v>
      </c>
    </row>
    <row r="33" spans="1:9" x14ac:dyDescent="0.25">
      <c r="A33" s="1">
        <v>2021</v>
      </c>
      <c r="B33" s="1" t="s">
        <v>12</v>
      </c>
      <c r="C33" s="1" t="s">
        <v>13</v>
      </c>
      <c r="D33" s="1" t="s">
        <v>14</v>
      </c>
      <c r="E33" s="1">
        <v>0.04</v>
      </c>
      <c r="F33" s="5">
        <v>26.23</v>
      </c>
      <c r="G33" s="1">
        <v>0</v>
      </c>
      <c r="H33" s="1">
        <v>0.12</v>
      </c>
      <c r="I33" s="1">
        <v>0.04</v>
      </c>
    </row>
    <row r="34" spans="1:9" x14ac:dyDescent="0.25">
      <c r="A34" s="1">
        <v>2021</v>
      </c>
      <c r="B34" s="1" t="s">
        <v>15</v>
      </c>
      <c r="C34" s="1" t="s">
        <v>16</v>
      </c>
      <c r="D34" s="1" t="s">
        <v>17</v>
      </c>
      <c r="E34" s="1">
        <v>0.03</v>
      </c>
      <c r="F34" s="5">
        <v>20.6</v>
      </c>
      <c r="G34" s="1">
        <v>0.14000000000000001</v>
      </c>
      <c r="H34" s="1">
        <v>0.41</v>
      </c>
      <c r="I34" s="1">
        <v>0</v>
      </c>
    </row>
    <row r="35" spans="1:9" x14ac:dyDescent="0.25">
      <c r="A35" s="1">
        <v>2021</v>
      </c>
      <c r="B35" s="1" t="s">
        <v>18</v>
      </c>
      <c r="C35" s="1" t="s">
        <v>19</v>
      </c>
      <c r="D35" s="1" t="s">
        <v>17</v>
      </c>
      <c r="E35" s="1">
        <v>0.01</v>
      </c>
      <c r="F35" s="5">
        <v>22.17</v>
      </c>
      <c r="G35" s="1">
        <v>0.13</v>
      </c>
      <c r="H35" s="1">
        <v>0.18</v>
      </c>
      <c r="I35" s="1">
        <v>0.01</v>
      </c>
    </row>
    <row r="36" spans="1:9" x14ac:dyDescent="0.25">
      <c r="A36" s="1">
        <v>2021</v>
      </c>
      <c r="B36" s="1" t="s">
        <v>20</v>
      </c>
      <c r="C36" s="1" t="s">
        <v>21</v>
      </c>
      <c r="D36" s="1" t="s">
        <v>17</v>
      </c>
      <c r="E36" s="1">
        <v>0.02</v>
      </c>
      <c r="F36" s="5">
        <v>17.5</v>
      </c>
      <c r="G36" s="1">
        <v>0.16</v>
      </c>
      <c r="H36" s="1">
        <v>0.21</v>
      </c>
      <c r="I36" s="1">
        <v>0.05</v>
      </c>
    </row>
    <row r="37" spans="1:9" x14ac:dyDescent="0.25">
      <c r="A37" s="1">
        <v>2021</v>
      </c>
      <c r="B37" s="1" t="s">
        <v>22</v>
      </c>
      <c r="C37" s="1" t="s">
        <v>23</v>
      </c>
      <c r="D37" s="1" t="s">
        <v>17</v>
      </c>
      <c r="E37" s="1">
        <v>0</v>
      </c>
      <c r="F37" s="5">
        <v>26.87</v>
      </c>
      <c r="G37" s="1">
        <v>0.05</v>
      </c>
      <c r="H37" s="1">
        <v>0.13</v>
      </c>
      <c r="I37" s="1">
        <v>0.02</v>
      </c>
    </row>
    <row r="38" spans="1:9" x14ac:dyDescent="0.25">
      <c r="A38" s="1">
        <v>2021</v>
      </c>
      <c r="B38" s="1" t="s">
        <v>24</v>
      </c>
      <c r="C38" s="1" t="s">
        <v>25</v>
      </c>
      <c r="D38" s="1" t="s">
        <v>17</v>
      </c>
      <c r="E38" s="1">
        <v>0.02</v>
      </c>
      <c r="F38" s="5">
        <v>16.88</v>
      </c>
      <c r="G38" s="1">
        <v>0.11</v>
      </c>
      <c r="H38" s="1">
        <v>0.32</v>
      </c>
      <c r="I38" s="1">
        <v>0</v>
      </c>
    </row>
    <row r="39" spans="1:9" x14ac:dyDescent="0.25">
      <c r="A39" s="1">
        <v>2021</v>
      </c>
      <c r="B39" s="1" t="s">
        <v>26</v>
      </c>
      <c r="C39" s="1" t="s">
        <v>27</v>
      </c>
      <c r="D39" s="1" t="s">
        <v>28</v>
      </c>
      <c r="E39" s="1">
        <v>7.0000000000000007E-2</v>
      </c>
      <c r="F39" s="5">
        <v>31.07</v>
      </c>
      <c r="G39" s="1">
        <v>0.01</v>
      </c>
      <c r="H39" s="1">
        <v>0.37</v>
      </c>
      <c r="I39" s="1">
        <v>0.08</v>
      </c>
    </row>
    <row r="40" spans="1:9" x14ac:dyDescent="0.25">
      <c r="A40" s="1">
        <v>2021</v>
      </c>
      <c r="B40" s="1" t="s">
        <v>29</v>
      </c>
      <c r="C40" s="1" t="s">
        <v>30</v>
      </c>
      <c r="D40" s="1" t="s">
        <v>28</v>
      </c>
      <c r="E40" s="1">
        <v>7.0000000000000007E-2</v>
      </c>
      <c r="F40" s="5">
        <v>34.869999999999997</v>
      </c>
      <c r="G40" s="1">
        <v>0.52</v>
      </c>
      <c r="H40" s="1">
        <v>0.33</v>
      </c>
      <c r="I40" s="1">
        <v>0.03</v>
      </c>
    </row>
    <row r="41" spans="1:9" x14ac:dyDescent="0.25">
      <c r="A41" s="1">
        <v>2021</v>
      </c>
      <c r="B41" s="1" t="s">
        <v>31</v>
      </c>
      <c r="C41" s="1" t="s">
        <v>32</v>
      </c>
      <c r="D41" s="1" t="s">
        <v>33</v>
      </c>
      <c r="E41" s="1">
        <v>0.01</v>
      </c>
      <c r="F41" s="5">
        <v>9.6300000000000008</v>
      </c>
      <c r="G41" s="1">
        <v>0.75</v>
      </c>
      <c r="H41" s="1">
        <v>0.46</v>
      </c>
      <c r="I41" s="1">
        <v>0.02</v>
      </c>
    </row>
    <row r="42" spans="1:9" x14ac:dyDescent="0.25">
      <c r="A42" s="1">
        <v>2021</v>
      </c>
      <c r="B42" s="1" t="s">
        <v>34</v>
      </c>
      <c r="C42" s="1" t="s">
        <v>35</v>
      </c>
      <c r="D42" s="1" t="s">
        <v>36</v>
      </c>
      <c r="E42" s="1">
        <v>0.13</v>
      </c>
      <c r="F42" s="5">
        <v>30.74</v>
      </c>
      <c r="G42" s="1">
        <v>0.17</v>
      </c>
      <c r="H42" s="1">
        <v>0.42</v>
      </c>
      <c r="I42" s="1">
        <v>0.01</v>
      </c>
    </row>
    <row r="43" spans="1:9" x14ac:dyDescent="0.25">
      <c r="A43" s="1">
        <v>2021</v>
      </c>
      <c r="B43" s="1" t="s">
        <v>37</v>
      </c>
      <c r="C43" s="1" t="s">
        <v>38</v>
      </c>
      <c r="D43" s="1" t="s">
        <v>36</v>
      </c>
      <c r="E43" s="1">
        <v>0.31</v>
      </c>
      <c r="F43" s="5">
        <v>21.5</v>
      </c>
      <c r="G43" s="1">
        <v>0</v>
      </c>
      <c r="H43" s="1">
        <v>0.56999999999999995</v>
      </c>
      <c r="I43" s="1">
        <v>0.02</v>
      </c>
    </row>
    <row r="44" spans="1:9" x14ac:dyDescent="0.25">
      <c r="A44" s="1">
        <v>2021</v>
      </c>
      <c r="B44" s="1" t="s">
        <v>39</v>
      </c>
      <c r="C44" s="1" t="s">
        <v>40</v>
      </c>
      <c r="D44" s="1" t="s">
        <v>33</v>
      </c>
      <c r="E44" s="1">
        <v>0.13</v>
      </c>
      <c r="F44" s="5">
        <v>24.84</v>
      </c>
      <c r="G44" s="1">
        <v>0.48</v>
      </c>
      <c r="H44" s="1">
        <v>0.63</v>
      </c>
      <c r="I44" s="1">
        <v>0</v>
      </c>
    </row>
    <row r="45" spans="1:9" x14ac:dyDescent="0.25">
      <c r="A45" s="1">
        <v>2021</v>
      </c>
      <c r="B45" s="1" t="s">
        <v>41</v>
      </c>
      <c r="C45" s="1" t="s">
        <v>42</v>
      </c>
      <c r="D45" s="1" t="s">
        <v>43</v>
      </c>
      <c r="E45" s="1">
        <v>0.11</v>
      </c>
      <c r="F45" s="5">
        <v>41.25</v>
      </c>
      <c r="G45" s="1">
        <v>0</v>
      </c>
      <c r="H45" s="1">
        <v>0.25</v>
      </c>
      <c r="I45" s="1">
        <v>0.02</v>
      </c>
    </row>
    <row r="46" spans="1:9" x14ac:dyDescent="0.25">
      <c r="A46" s="1">
        <v>2021</v>
      </c>
      <c r="B46" s="1" t="s">
        <v>44</v>
      </c>
      <c r="C46" s="1" t="s">
        <v>45</v>
      </c>
      <c r="D46" s="1" t="s">
        <v>28</v>
      </c>
      <c r="E46" s="1">
        <v>0.3</v>
      </c>
      <c r="F46" s="5">
        <v>17.68</v>
      </c>
      <c r="G46" s="1">
        <v>0.77</v>
      </c>
      <c r="H46" s="1">
        <v>0.5</v>
      </c>
      <c r="I46" s="1">
        <v>0.03</v>
      </c>
    </row>
    <row r="47" spans="1:9" x14ac:dyDescent="0.25">
      <c r="A47" s="1">
        <v>2020</v>
      </c>
      <c r="B47" s="1" t="s">
        <v>9</v>
      </c>
      <c r="C47" s="1" t="s">
        <v>10</v>
      </c>
      <c r="D47" s="1" t="s">
        <v>11</v>
      </c>
      <c r="E47" s="1">
        <v>0.18</v>
      </c>
      <c r="F47" s="5">
        <v>13.48</v>
      </c>
      <c r="G47" s="1">
        <v>0.73</v>
      </c>
      <c r="H47" s="1">
        <v>0.41</v>
      </c>
      <c r="I47" s="1">
        <v>0</v>
      </c>
    </row>
    <row r="48" spans="1:9" x14ac:dyDescent="0.25">
      <c r="A48" s="1">
        <v>2020</v>
      </c>
      <c r="B48" s="1" t="s">
        <v>12</v>
      </c>
      <c r="C48" s="1" t="s">
        <v>13</v>
      </c>
      <c r="D48" s="1" t="s">
        <v>14</v>
      </c>
      <c r="E48" s="1">
        <v>0.28000000000000003</v>
      </c>
      <c r="F48" s="5">
        <v>35.89</v>
      </c>
      <c r="G48" s="1">
        <v>0.2</v>
      </c>
      <c r="H48" s="1">
        <v>0.35</v>
      </c>
      <c r="I48" s="1">
        <v>0.02</v>
      </c>
    </row>
    <row r="49" spans="1:9" x14ac:dyDescent="0.25">
      <c r="A49" s="1">
        <v>2020</v>
      </c>
      <c r="B49" s="1" t="s">
        <v>15</v>
      </c>
      <c r="C49" s="1" t="s">
        <v>16</v>
      </c>
      <c r="D49" s="1" t="s">
        <v>17</v>
      </c>
      <c r="E49" s="1">
        <v>7.0000000000000007E-2</v>
      </c>
      <c r="F49" s="5">
        <v>19.93</v>
      </c>
      <c r="G49" s="1">
        <v>0.6</v>
      </c>
      <c r="H49" s="1">
        <v>0.17</v>
      </c>
      <c r="I49" s="1">
        <v>0</v>
      </c>
    </row>
    <row r="50" spans="1:9" x14ac:dyDescent="0.25">
      <c r="A50" s="1">
        <v>2020</v>
      </c>
      <c r="B50" s="1" t="s">
        <v>18</v>
      </c>
      <c r="C50" s="1" t="s">
        <v>19</v>
      </c>
      <c r="D50" s="1" t="s">
        <v>17</v>
      </c>
      <c r="E50" s="1">
        <v>0.02</v>
      </c>
      <c r="F50" s="5">
        <v>11.91</v>
      </c>
      <c r="G50" s="1">
        <v>0.18</v>
      </c>
      <c r="H50" s="1">
        <v>0.3</v>
      </c>
      <c r="I50" s="1">
        <v>0.01</v>
      </c>
    </row>
    <row r="51" spans="1:9" x14ac:dyDescent="0.25">
      <c r="A51" s="1">
        <v>2020</v>
      </c>
      <c r="B51" s="1" t="s">
        <v>20</v>
      </c>
      <c r="C51" s="1" t="s">
        <v>21</v>
      </c>
      <c r="D51" s="1" t="s">
        <v>17</v>
      </c>
      <c r="E51" s="1">
        <v>0.1</v>
      </c>
      <c r="F51" s="5">
        <v>19.329999999999998</v>
      </c>
      <c r="G51" s="1">
        <v>0.38</v>
      </c>
      <c r="H51" s="1">
        <v>0.45</v>
      </c>
      <c r="I51" s="1">
        <v>0.06</v>
      </c>
    </row>
    <row r="52" spans="1:9" x14ac:dyDescent="0.25">
      <c r="A52" s="1">
        <v>2020</v>
      </c>
      <c r="B52" s="1" t="s">
        <v>22</v>
      </c>
      <c r="C52" s="1" t="s">
        <v>23</v>
      </c>
      <c r="D52" s="1" t="s">
        <v>17</v>
      </c>
      <c r="E52" s="1">
        <v>0.12</v>
      </c>
      <c r="F52" s="5">
        <v>19.760000000000002</v>
      </c>
      <c r="G52" s="1">
        <v>0.65</v>
      </c>
      <c r="H52" s="1">
        <v>0.35</v>
      </c>
      <c r="I52" s="1">
        <v>0.01</v>
      </c>
    </row>
    <row r="53" spans="1:9" x14ac:dyDescent="0.25">
      <c r="A53" s="1">
        <v>2020</v>
      </c>
      <c r="B53" s="1" t="s">
        <v>24</v>
      </c>
      <c r="C53" s="1" t="s">
        <v>25</v>
      </c>
      <c r="D53" s="1" t="s">
        <v>17</v>
      </c>
      <c r="E53" s="1">
        <v>0.09</v>
      </c>
      <c r="F53" s="5">
        <v>31.89</v>
      </c>
      <c r="G53" s="1">
        <v>0.65</v>
      </c>
      <c r="H53" s="1">
        <v>0.3</v>
      </c>
      <c r="I53" s="1">
        <v>7.0000000000000007E-2</v>
      </c>
    </row>
    <row r="54" spans="1:9" x14ac:dyDescent="0.25">
      <c r="A54" s="1">
        <v>2020</v>
      </c>
      <c r="B54" s="1" t="s">
        <v>26</v>
      </c>
      <c r="C54" s="1" t="s">
        <v>27</v>
      </c>
      <c r="D54" s="1" t="s">
        <v>28</v>
      </c>
      <c r="E54" s="1">
        <v>0.09</v>
      </c>
      <c r="F54" s="5">
        <v>24.17</v>
      </c>
      <c r="G54" s="1">
        <v>0.32</v>
      </c>
      <c r="H54" s="1">
        <v>0.67</v>
      </c>
      <c r="I54" s="1">
        <v>0.1</v>
      </c>
    </row>
    <row r="55" spans="1:9" x14ac:dyDescent="0.25">
      <c r="A55" s="1">
        <v>2020</v>
      </c>
      <c r="B55" s="1" t="s">
        <v>29</v>
      </c>
      <c r="C55" s="1" t="s">
        <v>30</v>
      </c>
      <c r="D55" s="1" t="s">
        <v>28</v>
      </c>
      <c r="E55" s="1">
        <v>0.05</v>
      </c>
      <c r="F55" s="5">
        <v>31.4</v>
      </c>
      <c r="G55" s="1">
        <v>0.59</v>
      </c>
      <c r="H55" s="1">
        <v>0.3</v>
      </c>
      <c r="I55" s="1">
        <v>0.02</v>
      </c>
    </row>
    <row r="56" spans="1:9" x14ac:dyDescent="0.25">
      <c r="A56" s="1">
        <v>2020</v>
      </c>
      <c r="B56" s="1" t="s">
        <v>31</v>
      </c>
      <c r="C56" s="1" t="s">
        <v>32</v>
      </c>
      <c r="D56" s="1" t="s">
        <v>33</v>
      </c>
      <c r="E56" s="1">
        <v>0.3</v>
      </c>
      <c r="F56" s="5">
        <v>33.130000000000003</v>
      </c>
      <c r="G56" s="1">
        <v>0.64</v>
      </c>
      <c r="H56" s="1">
        <v>0.45</v>
      </c>
      <c r="I56" s="1">
        <v>0.02</v>
      </c>
    </row>
    <row r="57" spans="1:9" x14ac:dyDescent="0.25">
      <c r="A57" s="1">
        <v>2020</v>
      </c>
      <c r="B57" s="1" t="s">
        <v>34</v>
      </c>
      <c r="C57" s="1" t="s">
        <v>35</v>
      </c>
      <c r="D57" s="1" t="s">
        <v>36</v>
      </c>
      <c r="E57" s="1">
        <v>0.23</v>
      </c>
      <c r="F57" s="5">
        <v>24.81</v>
      </c>
      <c r="G57" s="1">
        <v>0.49</v>
      </c>
      <c r="H57" s="1">
        <v>0.59</v>
      </c>
      <c r="I57" s="1">
        <v>7.0000000000000007E-2</v>
      </c>
    </row>
    <row r="58" spans="1:9" x14ac:dyDescent="0.25">
      <c r="A58" s="1">
        <v>2020</v>
      </c>
      <c r="B58" s="1" t="s">
        <v>37</v>
      </c>
      <c r="C58" s="1" t="s">
        <v>38</v>
      </c>
      <c r="D58" s="1" t="s">
        <v>36</v>
      </c>
      <c r="E58" s="1">
        <v>0.01</v>
      </c>
      <c r="F58" s="5">
        <v>22.83</v>
      </c>
      <c r="G58" s="1">
        <v>0.61</v>
      </c>
      <c r="H58" s="1">
        <v>0.59</v>
      </c>
      <c r="I58" s="1">
        <v>0</v>
      </c>
    </row>
    <row r="59" spans="1:9" x14ac:dyDescent="0.25">
      <c r="A59" s="1">
        <v>2020</v>
      </c>
      <c r="B59" s="1" t="s">
        <v>39</v>
      </c>
      <c r="C59" s="1" t="s">
        <v>40</v>
      </c>
      <c r="D59" s="1" t="s">
        <v>33</v>
      </c>
      <c r="E59" s="1">
        <v>0.23</v>
      </c>
      <c r="F59" s="5">
        <v>29.09</v>
      </c>
      <c r="G59" s="1">
        <v>0.1</v>
      </c>
      <c r="H59" s="1">
        <v>0.56999999999999995</v>
      </c>
      <c r="I59" s="1">
        <v>0.02</v>
      </c>
    </row>
    <row r="60" spans="1:9" x14ac:dyDescent="0.25">
      <c r="A60" s="1">
        <v>2020</v>
      </c>
      <c r="B60" s="1" t="s">
        <v>41</v>
      </c>
      <c r="C60" s="1" t="s">
        <v>42</v>
      </c>
      <c r="D60" s="1" t="s">
        <v>43</v>
      </c>
      <c r="E60" s="1">
        <v>0.03</v>
      </c>
      <c r="F60" s="5">
        <v>19.43</v>
      </c>
      <c r="G60" s="1">
        <v>0.31</v>
      </c>
      <c r="H60" s="1">
        <v>0.45</v>
      </c>
      <c r="I60" s="1">
        <v>0</v>
      </c>
    </row>
    <row r="61" spans="1:9" x14ac:dyDescent="0.25">
      <c r="A61" s="1">
        <v>2020</v>
      </c>
      <c r="B61" s="1" t="s">
        <v>44</v>
      </c>
      <c r="C61" s="1" t="s">
        <v>45</v>
      </c>
      <c r="D61" s="1" t="s">
        <v>28</v>
      </c>
      <c r="E61" s="1">
        <v>0.11</v>
      </c>
      <c r="F61" s="5">
        <v>25.26</v>
      </c>
      <c r="G61" s="1">
        <v>0.31</v>
      </c>
      <c r="H61" s="1">
        <v>0.37</v>
      </c>
      <c r="I61" s="1">
        <v>0.03</v>
      </c>
    </row>
    <row r="62" spans="1:9" x14ac:dyDescent="0.25">
      <c r="A62" s="1">
        <v>2019</v>
      </c>
      <c r="B62" s="1" t="s">
        <v>9</v>
      </c>
      <c r="C62" s="1" t="s">
        <v>10</v>
      </c>
      <c r="D62" s="1" t="s">
        <v>11</v>
      </c>
      <c r="E62" s="1">
        <v>0.3</v>
      </c>
      <c r="F62" s="5">
        <v>14.13</v>
      </c>
      <c r="G62" s="1">
        <v>0.49</v>
      </c>
      <c r="H62" s="1">
        <v>0.48</v>
      </c>
      <c r="I62" s="1">
        <v>0.03</v>
      </c>
    </row>
    <row r="63" spans="1:9" x14ac:dyDescent="0.25">
      <c r="A63" s="1">
        <v>2019</v>
      </c>
      <c r="B63" s="1" t="s">
        <v>12</v>
      </c>
      <c r="C63" s="1" t="s">
        <v>13</v>
      </c>
      <c r="D63" s="1" t="s">
        <v>14</v>
      </c>
      <c r="E63" s="1">
        <v>0.08</v>
      </c>
      <c r="F63" s="5">
        <v>20.23</v>
      </c>
      <c r="G63" s="1">
        <v>0.01</v>
      </c>
      <c r="H63" s="1">
        <v>0.57999999999999996</v>
      </c>
      <c r="I63" s="1">
        <v>0.01</v>
      </c>
    </row>
    <row r="64" spans="1:9" x14ac:dyDescent="0.25">
      <c r="A64" s="1">
        <v>2019</v>
      </c>
      <c r="B64" s="1" t="s">
        <v>15</v>
      </c>
      <c r="C64" s="1" t="s">
        <v>16</v>
      </c>
      <c r="D64" s="1" t="s">
        <v>17</v>
      </c>
      <c r="E64" s="1">
        <v>0.23</v>
      </c>
      <c r="F64" s="5">
        <v>37.74</v>
      </c>
      <c r="G64" s="1">
        <v>0.53</v>
      </c>
      <c r="H64" s="1">
        <v>0.45</v>
      </c>
      <c r="I64" s="1">
        <v>0.02</v>
      </c>
    </row>
    <row r="65" spans="1:9" x14ac:dyDescent="0.25">
      <c r="A65" s="1">
        <v>2019</v>
      </c>
      <c r="B65" s="1" t="s">
        <v>18</v>
      </c>
      <c r="C65" s="1" t="s">
        <v>19</v>
      </c>
      <c r="D65" s="1" t="s">
        <v>17</v>
      </c>
      <c r="E65" s="1">
        <v>0.08</v>
      </c>
      <c r="F65" s="5">
        <v>36.32</v>
      </c>
      <c r="G65" s="1">
        <v>0</v>
      </c>
      <c r="H65" s="1">
        <v>0.4</v>
      </c>
      <c r="I65" s="1">
        <v>0</v>
      </c>
    </row>
    <row r="66" spans="1:9" x14ac:dyDescent="0.25">
      <c r="A66" s="1">
        <v>2019</v>
      </c>
      <c r="B66" s="1" t="s">
        <v>20</v>
      </c>
      <c r="C66" s="1" t="s">
        <v>21</v>
      </c>
      <c r="D66" s="1" t="s">
        <v>17</v>
      </c>
      <c r="E66" s="1">
        <v>0.1</v>
      </c>
      <c r="F66" s="5">
        <v>34.840000000000003</v>
      </c>
      <c r="G66" s="1">
        <v>0.75</v>
      </c>
      <c r="H66" s="1">
        <v>0.56000000000000005</v>
      </c>
      <c r="I66" s="1">
        <v>0.04</v>
      </c>
    </row>
    <row r="67" spans="1:9" x14ac:dyDescent="0.25">
      <c r="A67" s="1">
        <v>2019</v>
      </c>
      <c r="B67" s="1" t="s">
        <v>22</v>
      </c>
      <c r="C67" s="1" t="s">
        <v>23</v>
      </c>
      <c r="D67" s="1" t="s">
        <v>17</v>
      </c>
      <c r="E67" s="1">
        <v>0.09</v>
      </c>
      <c r="F67" s="5">
        <v>24.9</v>
      </c>
      <c r="G67" s="1">
        <v>0.66</v>
      </c>
      <c r="H67" s="1">
        <v>0.66</v>
      </c>
      <c r="I67" s="1">
        <v>0.02</v>
      </c>
    </row>
    <row r="68" spans="1:9" x14ac:dyDescent="0.25">
      <c r="A68" s="1">
        <v>2019</v>
      </c>
      <c r="B68" s="1" t="s">
        <v>24</v>
      </c>
      <c r="C68" s="1" t="s">
        <v>25</v>
      </c>
      <c r="D68" s="1" t="s">
        <v>17</v>
      </c>
      <c r="E68" s="1">
        <v>0.06</v>
      </c>
      <c r="F68" s="5">
        <v>12.84</v>
      </c>
      <c r="G68" s="1">
        <v>0.43</v>
      </c>
      <c r="H68" s="1">
        <v>0.37</v>
      </c>
      <c r="I68" s="1">
        <v>0.01</v>
      </c>
    </row>
    <row r="69" spans="1:9" x14ac:dyDescent="0.25">
      <c r="A69" s="1">
        <v>2019</v>
      </c>
      <c r="B69" s="1" t="s">
        <v>26</v>
      </c>
      <c r="C69" s="1" t="s">
        <v>27</v>
      </c>
      <c r="D69" s="1" t="s">
        <v>28</v>
      </c>
      <c r="E69" s="1">
        <v>0.05</v>
      </c>
      <c r="F69" s="5">
        <v>29.89</v>
      </c>
      <c r="G69" s="1">
        <v>0.56000000000000005</v>
      </c>
      <c r="H69" s="1">
        <v>0.25</v>
      </c>
      <c r="I69" s="1">
        <v>0.04</v>
      </c>
    </row>
    <row r="70" spans="1:9" x14ac:dyDescent="0.25">
      <c r="A70" s="1">
        <v>2019</v>
      </c>
      <c r="B70" s="1" t="s">
        <v>29</v>
      </c>
      <c r="C70" s="1" t="s">
        <v>30</v>
      </c>
      <c r="D70" s="1" t="s">
        <v>28</v>
      </c>
      <c r="E70" s="1">
        <v>0.04</v>
      </c>
      <c r="F70" s="5">
        <v>16.61</v>
      </c>
      <c r="G70" s="1">
        <v>0.24</v>
      </c>
      <c r="H70" s="1">
        <v>0.38</v>
      </c>
      <c r="I70" s="1">
        <v>0.05</v>
      </c>
    </row>
    <row r="71" spans="1:9" x14ac:dyDescent="0.25">
      <c r="A71" s="1">
        <v>2019</v>
      </c>
      <c r="B71" s="1" t="s">
        <v>31</v>
      </c>
      <c r="C71" s="1" t="s">
        <v>32</v>
      </c>
      <c r="D71" s="1" t="s">
        <v>33</v>
      </c>
      <c r="E71" s="1">
        <v>0.06</v>
      </c>
      <c r="F71" s="5">
        <v>35.11</v>
      </c>
      <c r="G71" s="1">
        <v>0.16</v>
      </c>
      <c r="H71" s="1">
        <v>0.41</v>
      </c>
      <c r="I71" s="1">
        <v>0.04</v>
      </c>
    </row>
    <row r="72" spans="1:9" x14ac:dyDescent="0.25">
      <c r="A72" s="1">
        <v>2019</v>
      </c>
      <c r="B72" s="1" t="s">
        <v>34</v>
      </c>
      <c r="C72" s="1" t="s">
        <v>35</v>
      </c>
      <c r="D72" s="1" t="s">
        <v>36</v>
      </c>
      <c r="E72" s="1">
        <v>0.17</v>
      </c>
      <c r="F72" s="5">
        <v>22.36</v>
      </c>
      <c r="G72" s="1">
        <v>0.18</v>
      </c>
      <c r="H72" s="1">
        <v>0.6</v>
      </c>
      <c r="I72" s="1">
        <v>0</v>
      </c>
    </row>
    <row r="73" spans="1:9" x14ac:dyDescent="0.25">
      <c r="A73" s="1">
        <v>2019</v>
      </c>
      <c r="B73" s="1" t="s">
        <v>37</v>
      </c>
      <c r="C73" s="1" t="s">
        <v>38</v>
      </c>
      <c r="D73" s="1" t="s">
        <v>36</v>
      </c>
      <c r="E73" s="1">
        <v>0.24</v>
      </c>
      <c r="F73" s="5">
        <v>26.1</v>
      </c>
      <c r="G73" s="1">
        <v>0.48</v>
      </c>
      <c r="H73" s="1">
        <v>0.36</v>
      </c>
      <c r="I73" s="1">
        <v>0.08</v>
      </c>
    </row>
    <row r="74" spans="1:9" x14ac:dyDescent="0.25">
      <c r="A74" s="1">
        <v>2019</v>
      </c>
      <c r="B74" s="1" t="s">
        <v>39</v>
      </c>
      <c r="C74" s="1" t="s">
        <v>40</v>
      </c>
      <c r="D74" s="1" t="s">
        <v>33</v>
      </c>
      <c r="E74" s="1">
        <v>0.14000000000000001</v>
      </c>
      <c r="F74" s="5">
        <v>13.66</v>
      </c>
      <c r="G74" s="1">
        <v>0.55000000000000004</v>
      </c>
      <c r="H74" s="1">
        <v>0.25</v>
      </c>
      <c r="I74" s="1">
        <v>0.01</v>
      </c>
    </row>
    <row r="75" spans="1:9" x14ac:dyDescent="0.25">
      <c r="A75" s="1">
        <v>2019</v>
      </c>
      <c r="B75" s="1" t="s">
        <v>41</v>
      </c>
      <c r="C75" s="1" t="s">
        <v>42</v>
      </c>
      <c r="D75" s="1" t="s">
        <v>43</v>
      </c>
      <c r="E75" s="1">
        <v>0.06</v>
      </c>
      <c r="F75" s="5">
        <v>14.13</v>
      </c>
      <c r="G75" s="1">
        <v>0.53</v>
      </c>
      <c r="H75" s="1">
        <v>0.46</v>
      </c>
      <c r="I75" s="1">
        <v>0.02</v>
      </c>
    </row>
    <row r="76" spans="1:9" x14ac:dyDescent="0.25">
      <c r="A76" s="1">
        <v>2019</v>
      </c>
      <c r="B76" s="1" t="s">
        <v>44</v>
      </c>
      <c r="C76" s="1" t="s">
        <v>45</v>
      </c>
      <c r="D76" s="1" t="s">
        <v>28</v>
      </c>
      <c r="E76" s="1">
        <v>0.08</v>
      </c>
      <c r="F76" s="5">
        <v>35.229999999999997</v>
      </c>
      <c r="G76" s="1">
        <v>0.22</v>
      </c>
      <c r="H76" s="1">
        <v>0.26</v>
      </c>
      <c r="I76" s="1">
        <v>0.03</v>
      </c>
    </row>
    <row r="77" spans="1:9" x14ac:dyDescent="0.25">
      <c r="A77" s="1">
        <v>2018</v>
      </c>
      <c r="B77" s="1" t="s">
        <v>9</v>
      </c>
      <c r="C77" s="1" t="s">
        <v>10</v>
      </c>
      <c r="D77" s="1" t="s">
        <v>11</v>
      </c>
      <c r="E77" s="1">
        <v>0.19</v>
      </c>
      <c r="F77" s="5">
        <v>16.239999999999998</v>
      </c>
      <c r="G77" s="1">
        <v>0.28999999999999998</v>
      </c>
      <c r="H77" s="1">
        <v>0.37</v>
      </c>
      <c r="I77" s="1">
        <v>0</v>
      </c>
    </row>
    <row r="78" spans="1:9" x14ac:dyDescent="0.25">
      <c r="A78" s="1">
        <v>2018</v>
      </c>
      <c r="B78" s="1" t="s">
        <v>12</v>
      </c>
      <c r="C78" s="1" t="s">
        <v>13</v>
      </c>
      <c r="D78" s="1" t="s">
        <v>14</v>
      </c>
      <c r="E78" s="1">
        <v>0.17</v>
      </c>
      <c r="F78" s="5">
        <v>16.46</v>
      </c>
      <c r="G78" s="1">
        <v>0.73</v>
      </c>
      <c r="H78" s="1">
        <v>0.11</v>
      </c>
      <c r="I78" s="1">
        <v>0.09</v>
      </c>
    </row>
    <row r="79" spans="1:9" x14ac:dyDescent="0.25">
      <c r="A79" s="1">
        <v>2018</v>
      </c>
      <c r="B79" s="1" t="s">
        <v>15</v>
      </c>
      <c r="C79" s="1" t="s">
        <v>16</v>
      </c>
      <c r="D79" s="1" t="s">
        <v>17</v>
      </c>
      <c r="E79" s="1">
        <v>0.24</v>
      </c>
      <c r="F79" s="5">
        <v>17.48</v>
      </c>
      <c r="G79" s="1">
        <v>0.37</v>
      </c>
      <c r="H79" s="1">
        <v>0.32</v>
      </c>
      <c r="I79" s="1">
        <v>0.01</v>
      </c>
    </row>
    <row r="80" spans="1:9" x14ac:dyDescent="0.25">
      <c r="A80" s="1">
        <v>2018</v>
      </c>
      <c r="B80" s="1" t="s">
        <v>18</v>
      </c>
      <c r="C80" s="1" t="s">
        <v>19</v>
      </c>
      <c r="D80" s="1" t="s">
        <v>17</v>
      </c>
      <c r="E80" s="1">
        <v>0.15</v>
      </c>
      <c r="F80" s="5">
        <v>37.700000000000003</v>
      </c>
      <c r="G80" s="1">
        <v>0.03</v>
      </c>
      <c r="H80" s="1">
        <v>0.26</v>
      </c>
      <c r="I80" s="1">
        <v>0</v>
      </c>
    </row>
    <row r="81" spans="1:9" x14ac:dyDescent="0.25">
      <c r="A81" s="1">
        <v>2018</v>
      </c>
      <c r="B81" s="1" t="s">
        <v>20</v>
      </c>
      <c r="C81" s="1" t="s">
        <v>21</v>
      </c>
      <c r="D81" s="1" t="s">
        <v>17</v>
      </c>
      <c r="E81" s="1">
        <v>0.09</v>
      </c>
      <c r="F81" s="5">
        <v>38.08</v>
      </c>
      <c r="G81" s="1">
        <v>0.18</v>
      </c>
      <c r="H81" s="1">
        <v>0.34</v>
      </c>
      <c r="I81" s="1">
        <v>0.05</v>
      </c>
    </row>
    <row r="82" spans="1:9" x14ac:dyDescent="0.25">
      <c r="A82" s="1">
        <v>2018</v>
      </c>
      <c r="B82" s="1" t="s">
        <v>22</v>
      </c>
      <c r="C82" s="1" t="s">
        <v>23</v>
      </c>
      <c r="D82" s="1" t="s">
        <v>17</v>
      </c>
      <c r="E82" s="1">
        <v>0.14000000000000001</v>
      </c>
      <c r="F82" s="5">
        <v>31.73</v>
      </c>
      <c r="G82" s="1">
        <v>0.42</v>
      </c>
      <c r="H82" s="1">
        <v>0.17</v>
      </c>
      <c r="I82" s="1">
        <v>0.03</v>
      </c>
    </row>
    <row r="83" spans="1:9" x14ac:dyDescent="0.25">
      <c r="A83" s="1">
        <v>2018</v>
      </c>
      <c r="B83" s="1" t="s">
        <v>24</v>
      </c>
      <c r="C83" s="1" t="s">
        <v>25</v>
      </c>
      <c r="D83" s="1" t="s">
        <v>17</v>
      </c>
      <c r="E83" s="1">
        <v>0.06</v>
      </c>
      <c r="F83" s="5">
        <v>18.559999999999999</v>
      </c>
      <c r="G83" s="1">
        <v>0.51</v>
      </c>
      <c r="H83" s="1">
        <v>0.12</v>
      </c>
      <c r="I83" s="1">
        <v>7.0000000000000007E-2</v>
      </c>
    </row>
    <row r="84" spans="1:9" x14ac:dyDescent="0.25">
      <c r="A84" s="1">
        <v>2018</v>
      </c>
      <c r="B84" s="1" t="s">
        <v>26</v>
      </c>
      <c r="C84" s="1" t="s">
        <v>27</v>
      </c>
      <c r="D84" s="1" t="s">
        <v>28</v>
      </c>
      <c r="E84" s="1">
        <v>0.05</v>
      </c>
      <c r="F84" s="5">
        <v>20.73</v>
      </c>
      <c r="G84" s="1">
        <v>0.49</v>
      </c>
      <c r="H84" s="1">
        <v>0.69</v>
      </c>
      <c r="I84" s="1">
        <v>0.08</v>
      </c>
    </row>
    <row r="85" spans="1:9" x14ac:dyDescent="0.25">
      <c r="A85" s="1">
        <v>2018</v>
      </c>
      <c r="B85" s="1" t="s">
        <v>29</v>
      </c>
      <c r="C85" s="1" t="s">
        <v>30</v>
      </c>
      <c r="D85" s="1" t="s">
        <v>28</v>
      </c>
      <c r="E85" s="1">
        <v>0.27</v>
      </c>
      <c r="F85" s="5">
        <v>27.06</v>
      </c>
      <c r="G85" s="1">
        <v>0.71</v>
      </c>
      <c r="H85" s="1">
        <v>0.28999999999999998</v>
      </c>
      <c r="I85" s="1">
        <v>0</v>
      </c>
    </row>
    <row r="86" spans="1:9" x14ac:dyDescent="0.25">
      <c r="A86" s="1">
        <v>2018</v>
      </c>
      <c r="B86" s="1" t="s">
        <v>31</v>
      </c>
      <c r="C86" s="1" t="s">
        <v>32</v>
      </c>
      <c r="D86" s="1" t="s">
        <v>33</v>
      </c>
      <c r="E86" s="1">
        <v>0.23</v>
      </c>
      <c r="F86" s="5">
        <v>13.53</v>
      </c>
      <c r="G86" s="1">
        <v>0.75</v>
      </c>
      <c r="H86" s="1">
        <v>0.28000000000000003</v>
      </c>
      <c r="I86" s="1">
        <v>0.01</v>
      </c>
    </row>
    <row r="87" spans="1:9" x14ac:dyDescent="0.25">
      <c r="A87" s="1">
        <v>2018</v>
      </c>
      <c r="B87" s="1" t="s">
        <v>34</v>
      </c>
      <c r="C87" s="1" t="s">
        <v>35</v>
      </c>
      <c r="D87" s="1" t="s">
        <v>36</v>
      </c>
      <c r="E87" s="1">
        <v>0.12</v>
      </c>
      <c r="F87" s="5">
        <v>27.98</v>
      </c>
      <c r="G87" s="1">
        <v>0.72</v>
      </c>
      <c r="H87" s="1">
        <v>0.33</v>
      </c>
      <c r="I87" s="1">
        <v>0.01</v>
      </c>
    </row>
    <row r="88" spans="1:9" x14ac:dyDescent="0.25">
      <c r="A88" s="1">
        <v>2018</v>
      </c>
      <c r="B88" s="1" t="s">
        <v>37</v>
      </c>
      <c r="C88" s="1" t="s">
        <v>38</v>
      </c>
      <c r="D88" s="1" t="s">
        <v>36</v>
      </c>
      <c r="E88" s="1">
        <v>0.28999999999999998</v>
      </c>
      <c r="F88" s="5">
        <v>21.55</v>
      </c>
      <c r="G88" s="1">
        <v>0.67</v>
      </c>
      <c r="H88" s="1">
        <v>0.57999999999999996</v>
      </c>
      <c r="I88" s="1">
        <v>0.06</v>
      </c>
    </row>
    <row r="89" spans="1:9" x14ac:dyDescent="0.25">
      <c r="A89" s="1">
        <v>2018</v>
      </c>
      <c r="B89" s="1" t="s">
        <v>39</v>
      </c>
      <c r="C89" s="1" t="s">
        <v>40</v>
      </c>
      <c r="D89" s="1" t="s">
        <v>33</v>
      </c>
      <c r="E89" s="1">
        <v>0.21</v>
      </c>
      <c r="F89" s="5">
        <v>19.38</v>
      </c>
      <c r="G89" s="1">
        <v>0.17</v>
      </c>
      <c r="H89" s="1">
        <v>0.6</v>
      </c>
      <c r="I89" s="1">
        <v>0.05</v>
      </c>
    </row>
    <row r="90" spans="1:9" x14ac:dyDescent="0.25">
      <c r="A90" s="1">
        <v>2018</v>
      </c>
      <c r="B90" s="1" t="s">
        <v>41</v>
      </c>
      <c r="C90" s="1" t="s">
        <v>42</v>
      </c>
      <c r="D90" s="1" t="s">
        <v>43</v>
      </c>
      <c r="E90" s="1">
        <v>0.13</v>
      </c>
      <c r="F90" s="5">
        <v>11.61</v>
      </c>
      <c r="G90" s="1">
        <v>0.26</v>
      </c>
      <c r="H90" s="1">
        <v>0.66</v>
      </c>
      <c r="I90" s="1">
        <v>0.02</v>
      </c>
    </row>
    <row r="91" spans="1:9" x14ac:dyDescent="0.25">
      <c r="A91" s="1">
        <v>2018</v>
      </c>
      <c r="B91" s="1" t="s">
        <v>44</v>
      </c>
      <c r="C91" s="1" t="s">
        <v>45</v>
      </c>
      <c r="D91" s="1" t="s">
        <v>28</v>
      </c>
      <c r="E91" s="1">
        <v>0.17</v>
      </c>
      <c r="F91" s="5">
        <v>35.32</v>
      </c>
      <c r="G91" s="1">
        <v>0.04</v>
      </c>
      <c r="H91" s="1">
        <v>0.25</v>
      </c>
      <c r="I91" s="1">
        <v>0.01</v>
      </c>
    </row>
    <row r="94" spans="1:9" x14ac:dyDescent="0.25">
      <c r="B94" s="4" t="s">
        <v>48</v>
      </c>
      <c r="C94" s="4" t="s">
        <v>49</v>
      </c>
    </row>
    <row r="95" spans="1:9" x14ac:dyDescent="0.25">
      <c r="B95" s="1" t="s">
        <v>46</v>
      </c>
      <c r="C95" s="1">
        <f>MAX(F2:F91)</f>
        <v>42.2</v>
      </c>
    </row>
    <row r="96" spans="1:9" x14ac:dyDescent="0.25">
      <c r="B96" s="1" t="s">
        <v>47</v>
      </c>
      <c r="C96" s="1">
        <f>MIN(F2:F91)</f>
        <v>9.6300000000000008</v>
      </c>
    </row>
    <row r="98" spans="2:13" x14ac:dyDescent="0.25">
      <c r="B98" s="20"/>
      <c r="C98" s="20"/>
      <c r="D98" s="20"/>
      <c r="E98" s="20"/>
      <c r="F98" s="20"/>
      <c r="G98" s="20"/>
      <c r="H98" s="20"/>
      <c r="I98" s="20"/>
      <c r="J98" s="20"/>
      <c r="K98" s="20"/>
      <c r="L98" s="20"/>
      <c r="M98" s="20"/>
    </row>
    <row r="99" spans="2:13" x14ac:dyDescent="0.25">
      <c r="B99" s="21"/>
      <c r="C99" s="21"/>
      <c r="D99" s="21"/>
      <c r="E99" s="21"/>
      <c r="F99" s="21"/>
      <c r="G99" s="21"/>
      <c r="H99" s="21"/>
      <c r="I99" s="21"/>
      <c r="J99" s="21"/>
      <c r="K99" s="22"/>
      <c r="L99" s="22"/>
      <c r="M99" s="22"/>
    </row>
    <row r="100" spans="2:13" x14ac:dyDescent="0.25">
      <c r="B100" s="3"/>
      <c r="C100" s="3"/>
      <c r="D100" s="3"/>
      <c r="E100" s="3"/>
      <c r="F100" s="3"/>
      <c r="G100" s="3"/>
      <c r="H100" s="3"/>
      <c r="I100" s="3"/>
      <c r="J100" s="3"/>
      <c r="K100" s="22"/>
      <c r="L100" s="22"/>
      <c r="M100" s="22"/>
    </row>
    <row r="101" spans="2:13" x14ac:dyDescent="0.25">
      <c r="B101" s="3"/>
      <c r="C101" s="3"/>
      <c r="D101" s="3"/>
      <c r="E101" s="3"/>
      <c r="F101" s="3"/>
      <c r="G101" s="3"/>
      <c r="H101" s="3"/>
      <c r="I101" s="3"/>
      <c r="J101" s="3"/>
      <c r="K101" s="22"/>
      <c r="L101" s="22"/>
      <c r="M101" s="22"/>
    </row>
    <row r="102" spans="2:13" x14ac:dyDescent="0.25">
      <c r="B102" s="3"/>
      <c r="C102" s="3"/>
      <c r="D102" s="3"/>
      <c r="E102" s="3"/>
      <c r="F102" s="3"/>
      <c r="G102" s="3"/>
      <c r="H102" s="3"/>
      <c r="I102" s="3"/>
      <c r="J102" s="3"/>
      <c r="K102" s="22"/>
      <c r="L102" s="22"/>
      <c r="M102" s="22"/>
    </row>
    <row r="103" spans="2:13" x14ac:dyDescent="0.25">
      <c r="B103" s="3"/>
      <c r="C103" s="3"/>
      <c r="D103" s="3"/>
      <c r="E103" s="3"/>
      <c r="F103" s="3"/>
      <c r="G103" s="3"/>
      <c r="H103" s="3"/>
      <c r="I103" s="3"/>
      <c r="J103" s="3"/>
      <c r="K103" s="22"/>
      <c r="L103" s="22"/>
      <c r="M103" s="22"/>
    </row>
    <row r="104" spans="2:13" x14ac:dyDescent="0.25">
      <c r="B104" s="3"/>
      <c r="C104" s="3"/>
      <c r="D104" s="3"/>
      <c r="E104" s="3"/>
      <c r="F104" s="3"/>
      <c r="G104" s="3"/>
      <c r="H104" s="3"/>
      <c r="I104" s="3"/>
      <c r="J104" s="3"/>
      <c r="K104" s="22"/>
      <c r="L104" s="22"/>
      <c r="M104" s="22"/>
    </row>
    <row r="105" spans="2:13" x14ac:dyDescent="0.25">
      <c r="B105" s="3"/>
      <c r="C105" s="3"/>
      <c r="D105" s="3"/>
      <c r="E105" s="3"/>
      <c r="F105" s="3"/>
      <c r="G105" s="3"/>
      <c r="H105" s="3"/>
      <c r="I105" s="3"/>
      <c r="J105" s="3"/>
      <c r="K105" s="22"/>
      <c r="L105" s="22"/>
      <c r="M105" s="22"/>
    </row>
    <row r="106" spans="2:13" x14ac:dyDescent="0.25">
      <c r="B106" s="3"/>
      <c r="C106" s="3"/>
      <c r="D106" s="3"/>
      <c r="E106" s="3"/>
      <c r="F106" s="3"/>
      <c r="G106" s="3"/>
      <c r="H106" s="3"/>
      <c r="I106" s="3"/>
      <c r="J106" s="3"/>
      <c r="K106" s="22"/>
      <c r="L106" s="22"/>
      <c r="M106" s="22"/>
    </row>
    <row r="107" spans="2:13" x14ac:dyDescent="0.25">
      <c r="B107" s="3"/>
      <c r="C107" s="3"/>
      <c r="D107" s="3"/>
      <c r="E107" s="3"/>
      <c r="F107" s="3"/>
      <c r="G107" s="3"/>
      <c r="H107" s="3"/>
      <c r="I107" s="3"/>
      <c r="J107" s="3"/>
      <c r="K107" s="22"/>
      <c r="L107" s="22"/>
      <c r="M107" s="22"/>
    </row>
    <row r="108" spans="2:13" x14ac:dyDescent="0.25">
      <c r="B108" s="3"/>
      <c r="C108" s="3"/>
      <c r="D108" s="3"/>
      <c r="E108" s="3"/>
      <c r="F108" s="3"/>
      <c r="G108" s="3"/>
      <c r="H108" s="3"/>
      <c r="I108" s="3"/>
      <c r="J108" s="3"/>
      <c r="K108" s="22"/>
      <c r="L108" s="22"/>
      <c r="M108" s="22"/>
    </row>
    <row r="109" spans="2:13" x14ac:dyDescent="0.25">
      <c r="B109" s="3"/>
      <c r="C109" s="3"/>
      <c r="D109" s="3"/>
      <c r="E109" s="3"/>
      <c r="F109" s="3"/>
      <c r="G109" s="3"/>
      <c r="H109" s="3"/>
      <c r="I109" s="3"/>
      <c r="J109" s="3"/>
      <c r="K109" s="22"/>
      <c r="L109" s="22"/>
      <c r="M109" s="22"/>
    </row>
    <row r="110" spans="2:13" x14ac:dyDescent="0.25">
      <c r="B110" s="3"/>
      <c r="C110" s="3"/>
      <c r="D110" s="3"/>
      <c r="E110" s="3"/>
      <c r="F110" s="3"/>
      <c r="G110" s="3"/>
      <c r="H110" s="3"/>
      <c r="I110" s="3"/>
      <c r="J110" s="3"/>
      <c r="K110" s="22"/>
      <c r="L110" s="22"/>
      <c r="M110" s="22"/>
    </row>
    <row r="111" spans="2:13" x14ac:dyDescent="0.25">
      <c r="B111" s="3"/>
      <c r="C111" s="3"/>
      <c r="D111" s="3"/>
      <c r="E111" s="3"/>
      <c r="F111" s="3"/>
      <c r="G111" s="3"/>
      <c r="H111" s="3"/>
      <c r="I111" s="3"/>
      <c r="J111" s="3"/>
      <c r="K111" s="22"/>
      <c r="L111" s="22"/>
      <c r="M111" s="22"/>
    </row>
    <row r="112" spans="2:13" x14ac:dyDescent="0.25">
      <c r="B112" s="3"/>
      <c r="C112" s="3"/>
      <c r="D112" s="3"/>
      <c r="E112" s="3"/>
      <c r="F112" s="3"/>
      <c r="G112" s="3"/>
      <c r="H112" s="3"/>
      <c r="I112" s="3"/>
      <c r="J112" s="3"/>
      <c r="K112" s="22"/>
      <c r="L112" s="22"/>
      <c r="M112" s="22"/>
    </row>
    <row r="113" spans="2:13" x14ac:dyDescent="0.25">
      <c r="B113" s="3"/>
      <c r="C113" s="3"/>
      <c r="D113" s="3"/>
      <c r="E113" s="3"/>
      <c r="F113" s="3"/>
      <c r="G113" s="3"/>
      <c r="H113" s="3"/>
      <c r="I113" s="3"/>
      <c r="J113" s="3"/>
      <c r="K113" s="22"/>
      <c r="L113" s="22"/>
      <c r="M113" s="22"/>
    </row>
    <row r="114" spans="2:13" x14ac:dyDescent="0.25">
      <c r="B114" s="3"/>
      <c r="C114" s="3"/>
      <c r="D114" s="3"/>
      <c r="E114" s="3"/>
      <c r="F114" s="3"/>
      <c r="G114" s="3"/>
      <c r="H114" s="3"/>
      <c r="I114" s="3"/>
      <c r="J114" s="3"/>
      <c r="K114" s="22"/>
      <c r="L114" s="22"/>
      <c r="M114" s="22"/>
    </row>
    <row r="115" spans="2:13" x14ac:dyDescent="0.25">
      <c r="B115" s="3"/>
      <c r="C115" s="3"/>
      <c r="D115" s="3"/>
      <c r="E115" s="3"/>
      <c r="F115" s="3"/>
      <c r="G115" s="3"/>
      <c r="H115" s="3"/>
      <c r="I115" s="3"/>
      <c r="J115" s="3"/>
      <c r="K115" s="22"/>
      <c r="L115" s="22"/>
      <c r="M115" s="22"/>
    </row>
    <row r="116" spans="2:13" x14ac:dyDescent="0.25">
      <c r="B116" s="3"/>
      <c r="C116" s="3"/>
      <c r="D116" s="3"/>
      <c r="E116" s="3"/>
      <c r="F116" s="3"/>
      <c r="G116" s="3"/>
      <c r="H116" s="3"/>
      <c r="I116" s="3"/>
      <c r="J116" s="3"/>
      <c r="K116" s="22"/>
      <c r="L116" s="22"/>
      <c r="M116" s="22"/>
    </row>
    <row r="117" spans="2:13" x14ac:dyDescent="0.25">
      <c r="B117" s="3"/>
      <c r="C117" s="3"/>
      <c r="D117" s="3"/>
      <c r="E117" s="3"/>
      <c r="F117" s="3"/>
      <c r="G117" s="3"/>
      <c r="H117" s="3"/>
      <c r="I117" s="3"/>
      <c r="J117" s="3"/>
      <c r="K117" s="22"/>
      <c r="L117" s="22"/>
      <c r="M117" s="22"/>
    </row>
    <row r="118" spans="2:13" x14ac:dyDescent="0.25">
      <c r="B118" s="3"/>
      <c r="C118" s="3"/>
      <c r="D118" s="3"/>
      <c r="E118" s="3"/>
      <c r="F118" s="3"/>
      <c r="G118" s="3"/>
      <c r="H118" s="3"/>
      <c r="I118" s="3"/>
      <c r="J118" s="3"/>
      <c r="K118" s="22"/>
      <c r="L118" s="22"/>
      <c r="M118" s="22"/>
    </row>
    <row r="119" spans="2:13" x14ac:dyDescent="0.25">
      <c r="B119" s="3"/>
      <c r="C119" s="3"/>
      <c r="D119" s="3"/>
      <c r="E119" s="3"/>
      <c r="F119" s="3"/>
      <c r="G119" s="3"/>
      <c r="H119" s="3"/>
      <c r="I119" s="3"/>
      <c r="J119" s="3"/>
      <c r="K119" s="22"/>
      <c r="L119" s="22"/>
      <c r="M119" s="22"/>
    </row>
    <row r="120" spans="2:13" x14ac:dyDescent="0.25">
      <c r="B120" s="3"/>
      <c r="C120" s="3"/>
      <c r="D120" s="3"/>
      <c r="E120" s="3"/>
      <c r="F120" s="3"/>
      <c r="G120" s="3"/>
      <c r="H120" s="3"/>
      <c r="I120" s="3"/>
      <c r="J120" s="3"/>
      <c r="K120" s="22"/>
      <c r="L120" s="22"/>
      <c r="M120" s="22"/>
    </row>
    <row r="121" spans="2:13" x14ac:dyDescent="0.25">
      <c r="B121" s="3"/>
      <c r="C121" s="3"/>
      <c r="D121" s="3"/>
      <c r="E121" s="3"/>
      <c r="F121" s="3"/>
      <c r="G121" s="3"/>
      <c r="H121" s="3"/>
      <c r="I121" s="3"/>
      <c r="J121" s="3"/>
      <c r="K121" s="22"/>
      <c r="L121" s="22"/>
      <c r="M121" s="22"/>
    </row>
    <row r="122" spans="2:13" x14ac:dyDescent="0.25">
      <c r="B122" s="3"/>
      <c r="C122" s="3"/>
      <c r="D122" s="3"/>
      <c r="E122" s="3"/>
      <c r="F122" s="3"/>
      <c r="G122" s="3"/>
      <c r="H122" s="3"/>
      <c r="I122" s="3"/>
      <c r="J122" s="3"/>
      <c r="K122" s="22"/>
      <c r="L122" s="22"/>
      <c r="M122" s="22"/>
    </row>
    <row r="123" spans="2:13" x14ac:dyDescent="0.25">
      <c r="B123" s="3"/>
      <c r="C123" s="3"/>
      <c r="D123" s="3"/>
      <c r="E123" s="3"/>
      <c r="F123" s="3"/>
      <c r="G123" s="3"/>
      <c r="H123" s="3"/>
      <c r="I123" s="3"/>
      <c r="J123" s="3"/>
      <c r="K123" s="22"/>
      <c r="L123" s="22"/>
      <c r="M123" s="22"/>
    </row>
    <row r="124" spans="2:13" x14ac:dyDescent="0.25">
      <c r="B124" s="3"/>
      <c r="C124" s="3"/>
      <c r="D124" s="3"/>
      <c r="E124" s="3"/>
      <c r="F124" s="3"/>
      <c r="G124" s="3"/>
      <c r="H124" s="3"/>
      <c r="I124" s="3"/>
      <c r="J124" s="3"/>
      <c r="K124" s="22"/>
      <c r="L124" s="22"/>
      <c r="M124" s="22"/>
    </row>
    <row r="125" spans="2:13" x14ac:dyDescent="0.25">
      <c r="B125" s="3"/>
      <c r="C125" s="3"/>
      <c r="D125" s="3"/>
      <c r="E125" s="3"/>
      <c r="F125" s="3"/>
      <c r="G125" s="3"/>
      <c r="H125" s="3"/>
      <c r="I125" s="3"/>
      <c r="J125" s="3"/>
      <c r="K125" s="22"/>
      <c r="L125" s="22"/>
      <c r="M125" s="22"/>
    </row>
    <row r="126" spans="2:13" x14ac:dyDescent="0.25">
      <c r="B126" s="3"/>
      <c r="C126" s="3"/>
      <c r="D126" s="3"/>
      <c r="E126" s="3"/>
      <c r="F126" s="3"/>
      <c r="G126" s="3"/>
      <c r="H126" s="3"/>
      <c r="I126" s="3"/>
      <c r="J126" s="3"/>
      <c r="K126" s="22"/>
      <c r="L126" s="22"/>
      <c r="M126" s="22"/>
    </row>
    <row r="127" spans="2:13" x14ac:dyDescent="0.25">
      <c r="B127" s="3"/>
      <c r="C127" s="3"/>
      <c r="D127" s="3"/>
      <c r="E127" s="3"/>
      <c r="F127" s="3"/>
      <c r="G127" s="3"/>
      <c r="H127" s="3"/>
      <c r="I127" s="3"/>
      <c r="J127" s="3"/>
      <c r="K127" s="22"/>
      <c r="L127" s="22"/>
      <c r="M127" s="22"/>
    </row>
    <row r="128" spans="2:13" x14ac:dyDescent="0.25">
      <c r="B128" s="3"/>
      <c r="C128" s="3"/>
      <c r="D128" s="3"/>
      <c r="E128" s="3"/>
      <c r="F128" s="3"/>
      <c r="G128" s="3"/>
      <c r="H128" s="3"/>
      <c r="I128" s="3"/>
      <c r="J128" s="3"/>
      <c r="K128" s="22"/>
      <c r="L128" s="22"/>
      <c r="M128" s="22"/>
    </row>
    <row r="129" spans="2:13" x14ac:dyDescent="0.25">
      <c r="B129" s="3"/>
      <c r="C129" s="3"/>
      <c r="D129" s="3"/>
      <c r="E129" s="3"/>
      <c r="F129" s="3"/>
      <c r="G129" s="3"/>
      <c r="H129" s="3"/>
      <c r="I129" s="3"/>
      <c r="J129" s="3"/>
      <c r="K129" s="22"/>
      <c r="L129" s="22"/>
      <c r="M129" s="22"/>
    </row>
    <row r="130" spans="2:13" x14ac:dyDescent="0.25">
      <c r="B130" s="3"/>
      <c r="C130" s="3"/>
      <c r="D130" s="3"/>
      <c r="E130" s="3"/>
      <c r="F130" s="3"/>
      <c r="G130" s="3"/>
      <c r="H130" s="3"/>
      <c r="I130" s="3"/>
      <c r="J130" s="3"/>
      <c r="K130" s="22"/>
      <c r="L130" s="22"/>
      <c r="M130" s="22"/>
    </row>
    <row r="131" spans="2:13" x14ac:dyDescent="0.25">
      <c r="B131" s="3"/>
      <c r="C131" s="3"/>
      <c r="D131" s="3"/>
      <c r="E131" s="3"/>
      <c r="F131" s="3"/>
      <c r="G131" s="3"/>
      <c r="H131" s="3"/>
      <c r="I131" s="3"/>
      <c r="J131" s="3"/>
      <c r="K131" s="22"/>
      <c r="L131" s="22"/>
      <c r="M131" s="22"/>
    </row>
    <row r="132" spans="2:13" x14ac:dyDescent="0.25">
      <c r="B132" s="3"/>
      <c r="C132" s="3"/>
      <c r="D132" s="3"/>
      <c r="E132" s="3"/>
      <c r="F132" s="3"/>
      <c r="G132" s="3"/>
      <c r="H132" s="3"/>
      <c r="I132" s="3"/>
      <c r="J132" s="3"/>
      <c r="K132" s="22"/>
      <c r="L132" s="22"/>
      <c r="M132" s="22"/>
    </row>
    <row r="133" spans="2:13" x14ac:dyDescent="0.25">
      <c r="B133" s="3"/>
      <c r="C133" s="3"/>
      <c r="D133" s="3"/>
      <c r="E133" s="3"/>
      <c r="F133" s="3"/>
      <c r="G133" s="3"/>
      <c r="H133" s="3"/>
      <c r="I133" s="3"/>
      <c r="J133" s="3"/>
      <c r="K133" s="22"/>
      <c r="L133" s="22"/>
      <c r="M133" s="22"/>
    </row>
    <row r="134" spans="2:13" x14ac:dyDescent="0.25">
      <c r="B134" s="3"/>
      <c r="C134" s="3"/>
      <c r="D134" s="3"/>
      <c r="E134" s="3"/>
      <c r="F134" s="3"/>
      <c r="G134" s="3"/>
      <c r="H134" s="3"/>
      <c r="I134" s="3"/>
      <c r="J134" s="3"/>
      <c r="K134" s="22"/>
      <c r="L134" s="22"/>
      <c r="M134" s="22"/>
    </row>
    <row r="135" spans="2:13" x14ac:dyDescent="0.25">
      <c r="B135" s="3"/>
      <c r="C135" s="3"/>
      <c r="D135" s="3"/>
      <c r="E135" s="3"/>
      <c r="F135" s="3"/>
      <c r="G135" s="3"/>
      <c r="H135" s="3"/>
      <c r="I135" s="3"/>
      <c r="J135" s="3"/>
      <c r="K135" s="22"/>
      <c r="L135" s="22"/>
      <c r="M135" s="22"/>
    </row>
    <row r="136" spans="2:13" x14ac:dyDescent="0.25">
      <c r="B136" s="3"/>
      <c r="C136" s="3"/>
      <c r="D136" s="3"/>
      <c r="E136" s="3"/>
      <c r="F136" s="3"/>
      <c r="G136" s="3"/>
      <c r="H136" s="3"/>
      <c r="I136" s="3"/>
      <c r="J136" s="3"/>
      <c r="K136" s="22"/>
      <c r="L136" s="22"/>
      <c r="M136" s="22"/>
    </row>
    <row r="137" spans="2:13" x14ac:dyDescent="0.25">
      <c r="B137" s="3"/>
      <c r="C137" s="3"/>
      <c r="D137" s="3"/>
      <c r="E137" s="3"/>
      <c r="F137" s="3"/>
      <c r="G137" s="3"/>
      <c r="H137" s="3"/>
      <c r="I137" s="3"/>
      <c r="J137" s="3"/>
      <c r="K137" s="22"/>
      <c r="L137" s="22"/>
      <c r="M137" s="22"/>
    </row>
    <row r="138" spans="2:13" x14ac:dyDescent="0.25">
      <c r="B138" s="3"/>
      <c r="C138" s="3"/>
      <c r="D138" s="3"/>
      <c r="E138" s="3"/>
      <c r="F138" s="3"/>
      <c r="G138" s="3"/>
      <c r="H138" s="3"/>
      <c r="I138" s="3"/>
      <c r="J138" s="3"/>
      <c r="K138" s="22"/>
      <c r="L138" s="22"/>
      <c r="M138" s="22"/>
    </row>
    <row r="139" spans="2:13" x14ac:dyDescent="0.25">
      <c r="B139" s="3"/>
      <c r="C139" s="3"/>
      <c r="D139" s="3"/>
      <c r="E139" s="3"/>
      <c r="F139" s="3"/>
      <c r="G139" s="3"/>
      <c r="H139" s="3"/>
      <c r="I139" s="3"/>
      <c r="J139" s="3"/>
      <c r="K139" s="22"/>
      <c r="L139" s="22"/>
      <c r="M139" s="22"/>
    </row>
    <row r="140" spans="2:13" x14ac:dyDescent="0.25">
      <c r="B140" s="3"/>
      <c r="C140" s="3"/>
      <c r="D140" s="3"/>
      <c r="E140" s="3"/>
      <c r="F140" s="3"/>
      <c r="G140" s="3"/>
      <c r="H140" s="3"/>
      <c r="I140" s="3"/>
      <c r="J140" s="3"/>
      <c r="K140" s="22"/>
      <c r="L140" s="22"/>
      <c r="M140" s="22"/>
    </row>
    <row r="141" spans="2:13" x14ac:dyDescent="0.25">
      <c r="B141" s="3"/>
      <c r="C141" s="3"/>
      <c r="D141" s="3"/>
      <c r="E141" s="3"/>
      <c r="F141" s="3"/>
      <c r="G141" s="3"/>
      <c r="H141" s="3"/>
      <c r="I141" s="3"/>
      <c r="J141" s="3"/>
      <c r="K141" s="22"/>
      <c r="L141" s="22"/>
      <c r="M141" s="22"/>
    </row>
    <row r="142" spans="2:13" x14ac:dyDescent="0.25">
      <c r="B142" s="3"/>
      <c r="C142" s="3"/>
      <c r="D142" s="3"/>
      <c r="E142" s="3"/>
      <c r="F142" s="3"/>
      <c r="G142" s="3"/>
      <c r="H142" s="3"/>
      <c r="I142" s="3"/>
      <c r="J142" s="3"/>
      <c r="K142" s="22"/>
      <c r="L142" s="22"/>
      <c r="M142" s="22"/>
    </row>
    <row r="143" spans="2:13" x14ac:dyDescent="0.25">
      <c r="B143" s="3"/>
      <c r="C143" s="3"/>
      <c r="D143" s="3"/>
      <c r="E143" s="3"/>
      <c r="F143" s="3"/>
      <c r="G143" s="3"/>
      <c r="H143" s="3"/>
      <c r="I143" s="3"/>
      <c r="J143" s="3"/>
      <c r="K143" s="22"/>
      <c r="L143" s="22"/>
      <c r="M143" s="22"/>
    </row>
    <row r="144" spans="2:13" x14ac:dyDescent="0.25">
      <c r="B144" s="3"/>
      <c r="C144" s="3"/>
      <c r="D144" s="3"/>
      <c r="E144" s="3"/>
      <c r="F144" s="3"/>
      <c r="G144" s="3"/>
      <c r="H144" s="3"/>
      <c r="I144" s="3"/>
      <c r="J144" s="3"/>
      <c r="K144" s="22"/>
      <c r="L144" s="22"/>
      <c r="M144" s="22"/>
    </row>
    <row r="145" spans="2:13" x14ac:dyDescent="0.25">
      <c r="B145" s="3"/>
      <c r="C145" s="3"/>
      <c r="D145" s="3"/>
      <c r="E145" s="3"/>
      <c r="F145" s="3"/>
      <c r="G145" s="3"/>
      <c r="H145" s="3"/>
      <c r="I145" s="3"/>
      <c r="J145" s="3"/>
      <c r="K145" s="22"/>
      <c r="L145" s="22"/>
      <c r="M145" s="22"/>
    </row>
    <row r="146" spans="2:13" x14ac:dyDescent="0.25">
      <c r="B146" s="3"/>
      <c r="C146" s="3"/>
      <c r="D146" s="3"/>
      <c r="E146" s="3"/>
      <c r="F146" s="3"/>
      <c r="G146" s="3"/>
      <c r="H146" s="3"/>
      <c r="I146" s="3"/>
      <c r="J146" s="3"/>
      <c r="K146" s="22"/>
      <c r="L146" s="22"/>
      <c r="M146" s="22"/>
    </row>
    <row r="147" spans="2:13" x14ac:dyDescent="0.25">
      <c r="B147" s="3"/>
      <c r="C147" s="3"/>
      <c r="D147" s="3"/>
      <c r="E147" s="3"/>
      <c r="F147" s="3"/>
      <c r="G147" s="3"/>
      <c r="H147" s="3"/>
      <c r="I147" s="3"/>
      <c r="J147" s="3"/>
      <c r="K147" s="22"/>
      <c r="L147" s="22"/>
      <c r="M147" s="22"/>
    </row>
    <row r="148" spans="2:13" x14ac:dyDescent="0.25">
      <c r="B148" s="3"/>
      <c r="C148" s="3"/>
      <c r="D148" s="3"/>
      <c r="E148" s="3"/>
      <c r="F148" s="3"/>
      <c r="G148" s="3"/>
      <c r="H148" s="3"/>
      <c r="I148" s="3"/>
      <c r="J148" s="3"/>
      <c r="K148" s="22"/>
      <c r="L148" s="22"/>
      <c r="M148" s="22"/>
    </row>
    <row r="149" spans="2:13" x14ac:dyDescent="0.25">
      <c r="B149" s="3"/>
      <c r="C149" s="3"/>
      <c r="D149" s="3"/>
      <c r="E149" s="3"/>
      <c r="F149" s="3"/>
      <c r="G149" s="3"/>
      <c r="H149" s="3"/>
      <c r="I149" s="3"/>
      <c r="J149" s="3"/>
      <c r="K149" s="22"/>
      <c r="L149" s="22"/>
      <c r="M149" s="22"/>
    </row>
    <row r="150" spans="2:13" x14ac:dyDescent="0.25">
      <c r="B150" s="3"/>
      <c r="C150" s="3"/>
      <c r="D150" s="3"/>
      <c r="E150" s="3"/>
      <c r="F150" s="3"/>
      <c r="G150" s="3"/>
      <c r="H150" s="3"/>
      <c r="I150" s="3"/>
      <c r="J150" s="3"/>
      <c r="K150" s="22"/>
      <c r="L150" s="22"/>
      <c r="M150" s="22"/>
    </row>
    <row r="151" spans="2:13" x14ac:dyDescent="0.25">
      <c r="B151" s="3"/>
      <c r="C151" s="3"/>
      <c r="D151" s="3"/>
      <c r="E151" s="3"/>
      <c r="F151" s="3"/>
      <c r="G151" s="3"/>
      <c r="H151" s="3"/>
      <c r="I151" s="3"/>
      <c r="J151" s="3"/>
      <c r="K151" s="22"/>
      <c r="L151" s="22"/>
      <c r="M151" s="22"/>
    </row>
    <row r="152" spans="2:13" x14ac:dyDescent="0.25">
      <c r="B152" s="3"/>
      <c r="C152" s="3"/>
      <c r="D152" s="3"/>
      <c r="E152" s="3"/>
      <c r="F152" s="3"/>
      <c r="G152" s="3"/>
      <c r="H152" s="3"/>
      <c r="I152" s="3"/>
      <c r="J152" s="3"/>
      <c r="K152" s="22"/>
      <c r="L152" s="22"/>
      <c r="M152" s="22"/>
    </row>
    <row r="153" spans="2:13" x14ac:dyDescent="0.25">
      <c r="B153" s="3"/>
      <c r="C153" s="3"/>
      <c r="D153" s="3"/>
      <c r="E153" s="3"/>
      <c r="F153" s="3"/>
      <c r="G153" s="3"/>
      <c r="H153" s="3"/>
      <c r="I153" s="3"/>
      <c r="J153" s="3"/>
      <c r="K153" s="22"/>
      <c r="L153" s="22"/>
      <c r="M153" s="22"/>
    </row>
    <row r="154" spans="2:13" x14ac:dyDescent="0.25">
      <c r="B154" s="3"/>
      <c r="C154" s="3"/>
      <c r="D154" s="3"/>
      <c r="E154" s="3"/>
      <c r="F154" s="3"/>
      <c r="G154" s="3"/>
      <c r="H154" s="3"/>
      <c r="I154" s="3"/>
      <c r="J154" s="3"/>
      <c r="K154" s="22"/>
      <c r="L154" s="22"/>
      <c r="M154" s="22"/>
    </row>
    <row r="155" spans="2:13" x14ac:dyDescent="0.25">
      <c r="B155" s="3"/>
      <c r="C155" s="3"/>
      <c r="D155" s="3"/>
      <c r="E155" s="3"/>
      <c r="F155" s="3"/>
      <c r="G155" s="3"/>
      <c r="H155" s="3"/>
      <c r="I155" s="3"/>
      <c r="J155" s="3"/>
      <c r="K155" s="22"/>
      <c r="L155" s="22"/>
      <c r="M155" s="22"/>
    </row>
    <row r="156" spans="2:13" x14ac:dyDescent="0.25">
      <c r="B156" s="3"/>
      <c r="C156" s="3"/>
      <c r="D156" s="3"/>
      <c r="E156" s="3"/>
      <c r="F156" s="3"/>
      <c r="G156" s="3"/>
      <c r="H156" s="3"/>
      <c r="I156" s="3"/>
      <c r="J156" s="3"/>
      <c r="K156" s="22"/>
      <c r="L156" s="22"/>
      <c r="M156" s="22"/>
    </row>
    <row r="157" spans="2:13" x14ac:dyDescent="0.25">
      <c r="B157" s="3"/>
      <c r="C157" s="3"/>
      <c r="D157" s="3"/>
      <c r="E157" s="3"/>
      <c r="F157" s="3"/>
      <c r="G157" s="3"/>
      <c r="H157" s="3"/>
      <c r="I157" s="3"/>
      <c r="J157" s="3"/>
      <c r="K157" s="22"/>
      <c r="L157" s="22"/>
      <c r="M157" s="22"/>
    </row>
    <row r="158" spans="2:13" x14ac:dyDescent="0.25">
      <c r="B158" s="3"/>
      <c r="C158" s="3"/>
      <c r="D158" s="3"/>
      <c r="E158" s="3"/>
      <c r="F158" s="3"/>
      <c r="G158" s="3"/>
      <c r="H158" s="3"/>
      <c r="I158" s="3"/>
      <c r="J158" s="3"/>
      <c r="K158" s="22"/>
      <c r="L158" s="22"/>
      <c r="M158" s="22"/>
    </row>
    <row r="159" spans="2:13" x14ac:dyDescent="0.25">
      <c r="B159" s="3"/>
      <c r="C159" s="3"/>
      <c r="D159" s="3"/>
      <c r="E159" s="3"/>
      <c r="F159" s="3"/>
      <c r="G159" s="3"/>
      <c r="H159" s="3"/>
      <c r="I159" s="3"/>
      <c r="J159" s="3"/>
      <c r="K159" s="22"/>
      <c r="L159" s="22"/>
      <c r="M159" s="22"/>
    </row>
    <row r="160" spans="2:13" x14ac:dyDescent="0.25">
      <c r="B160" s="3"/>
      <c r="C160" s="3"/>
      <c r="D160" s="3"/>
      <c r="E160" s="3"/>
      <c r="F160" s="3"/>
      <c r="G160" s="3"/>
      <c r="H160" s="3"/>
      <c r="I160" s="3"/>
      <c r="J160" s="3"/>
      <c r="K160" s="22"/>
      <c r="L160" s="22"/>
      <c r="M160" s="22"/>
    </row>
    <row r="161" spans="2:13" x14ac:dyDescent="0.25">
      <c r="B161" s="3"/>
      <c r="C161" s="3"/>
      <c r="D161" s="3"/>
      <c r="E161" s="3"/>
      <c r="F161" s="3"/>
      <c r="G161" s="3"/>
      <c r="H161" s="3"/>
      <c r="I161" s="3"/>
      <c r="J161" s="3"/>
      <c r="K161" s="22"/>
      <c r="L161" s="22"/>
      <c r="M161" s="22"/>
    </row>
    <row r="162" spans="2:13" x14ac:dyDescent="0.25">
      <c r="B162" s="3"/>
      <c r="C162" s="3"/>
      <c r="D162" s="3"/>
      <c r="E162" s="3"/>
      <c r="F162" s="3"/>
      <c r="G162" s="3"/>
      <c r="H162" s="3"/>
      <c r="I162" s="3"/>
      <c r="J162" s="3"/>
      <c r="K162" s="22"/>
      <c r="L162" s="22"/>
      <c r="M162" s="22"/>
    </row>
    <row r="163" spans="2:13" x14ac:dyDescent="0.25">
      <c r="B163" s="3"/>
      <c r="C163" s="3"/>
      <c r="D163" s="3"/>
      <c r="E163" s="3"/>
      <c r="F163" s="3"/>
      <c r="G163" s="3"/>
      <c r="H163" s="3"/>
      <c r="I163" s="3"/>
      <c r="J163" s="3"/>
      <c r="K163" s="22"/>
      <c r="L163" s="22"/>
      <c r="M163" s="22"/>
    </row>
    <row r="164" spans="2:13" x14ac:dyDescent="0.25">
      <c r="B164" s="3"/>
      <c r="C164" s="3"/>
      <c r="D164" s="3"/>
      <c r="E164" s="3"/>
      <c r="F164" s="3"/>
      <c r="G164" s="3"/>
      <c r="H164" s="3"/>
      <c r="I164" s="3"/>
      <c r="J164" s="3"/>
      <c r="K164" s="22"/>
      <c r="L164" s="22"/>
      <c r="M164" s="22"/>
    </row>
    <row r="165" spans="2:13" x14ac:dyDescent="0.25">
      <c r="B165" s="3"/>
      <c r="C165" s="3"/>
      <c r="D165" s="3"/>
      <c r="E165" s="3"/>
      <c r="F165" s="3"/>
      <c r="G165" s="3"/>
      <c r="H165" s="3"/>
      <c r="I165" s="3"/>
      <c r="J165" s="3"/>
      <c r="K165" s="22"/>
      <c r="L165" s="22"/>
      <c r="M165" s="22"/>
    </row>
    <row r="166" spans="2:13" x14ac:dyDescent="0.25">
      <c r="B166" s="3"/>
      <c r="C166" s="3"/>
      <c r="D166" s="3"/>
      <c r="E166" s="3"/>
      <c r="F166" s="3"/>
      <c r="G166" s="3"/>
      <c r="H166" s="3"/>
      <c r="I166" s="3"/>
      <c r="J166" s="3"/>
      <c r="K166" s="22"/>
      <c r="L166" s="22"/>
      <c r="M166" s="22"/>
    </row>
    <row r="167" spans="2:13" x14ac:dyDescent="0.25">
      <c r="B167" s="3"/>
      <c r="C167" s="3"/>
      <c r="D167" s="3"/>
      <c r="E167" s="3"/>
      <c r="F167" s="3"/>
      <c r="G167" s="3"/>
      <c r="H167" s="3"/>
      <c r="I167" s="3"/>
      <c r="J167" s="3"/>
      <c r="K167" s="22"/>
      <c r="L167" s="22"/>
      <c r="M167" s="22"/>
    </row>
    <row r="168" spans="2:13" x14ac:dyDescent="0.25">
      <c r="B168" s="3"/>
      <c r="C168" s="3"/>
      <c r="D168" s="3"/>
      <c r="E168" s="3"/>
      <c r="F168" s="3"/>
      <c r="G168" s="3"/>
      <c r="H168" s="3"/>
      <c r="I168" s="3"/>
      <c r="J168" s="3"/>
      <c r="K168" s="22"/>
      <c r="L168" s="22"/>
      <c r="M168" s="22"/>
    </row>
    <row r="169" spans="2:13" x14ac:dyDescent="0.25">
      <c r="B169" s="3"/>
      <c r="C169" s="3"/>
      <c r="D169" s="3"/>
      <c r="E169" s="3"/>
      <c r="F169" s="3"/>
      <c r="G169" s="3"/>
      <c r="H169" s="3"/>
      <c r="I169" s="3"/>
      <c r="J169" s="3"/>
      <c r="K169" s="22"/>
      <c r="L169" s="22"/>
      <c r="M169" s="22"/>
    </row>
    <row r="170" spans="2:13" x14ac:dyDescent="0.25">
      <c r="B170" s="3"/>
      <c r="C170" s="3"/>
      <c r="D170" s="3"/>
      <c r="E170" s="3"/>
      <c r="F170" s="3"/>
      <c r="G170" s="3"/>
      <c r="H170" s="3"/>
      <c r="I170" s="3"/>
      <c r="J170" s="3"/>
      <c r="K170" s="22"/>
      <c r="L170" s="22"/>
      <c r="M170" s="22"/>
    </row>
    <row r="171" spans="2:13" x14ac:dyDescent="0.25">
      <c r="B171" s="3"/>
      <c r="C171" s="3"/>
      <c r="D171" s="3"/>
      <c r="E171" s="3"/>
      <c r="F171" s="3"/>
      <c r="G171" s="3"/>
      <c r="H171" s="3"/>
      <c r="I171" s="3"/>
      <c r="J171" s="3"/>
      <c r="K171" s="22"/>
      <c r="L171" s="22"/>
      <c r="M171" s="22"/>
    </row>
    <row r="172" spans="2:13" x14ac:dyDescent="0.25">
      <c r="B172" s="3"/>
      <c r="C172" s="3"/>
      <c r="D172" s="3"/>
      <c r="E172" s="3"/>
      <c r="F172" s="3"/>
      <c r="G172" s="3"/>
      <c r="H172" s="3"/>
      <c r="I172" s="3"/>
      <c r="J172" s="3"/>
      <c r="K172" s="22"/>
      <c r="L172" s="22"/>
      <c r="M172" s="22"/>
    </row>
    <row r="173" spans="2:13" x14ac:dyDescent="0.25">
      <c r="B173" s="3"/>
      <c r="C173" s="3"/>
      <c r="D173" s="3"/>
      <c r="E173" s="3"/>
      <c r="F173" s="3"/>
      <c r="G173" s="3"/>
      <c r="H173" s="3"/>
      <c r="I173" s="3"/>
      <c r="J173" s="3"/>
      <c r="K173" s="22"/>
      <c r="L173" s="22"/>
      <c r="M173" s="22"/>
    </row>
    <row r="174" spans="2:13" x14ac:dyDescent="0.25">
      <c r="B174" s="3"/>
      <c r="C174" s="3"/>
      <c r="D174" s="3"/>
      <c r="E174" s="3"/>
      <c r="F174" s="3"/>
      <c r="G174" s="3"/>
      <c r="H174" s="3"/>
      <c r="I174" s="3"/>
      <c r="J174" s="3"/>
      <c r="K174" s="22"/>
      <c r="L174" s="22"/>
      <c r="M174" s="22"/>
    </row>
    <row r="175" spans="2:13" x14ac:dyDescent="0.25">
      <c r="B175" s="3"/>
      <c r="C175" s="3"/>
      <c r="D175" s="3"/>
      <c r="E175" s="3"/>
      <c r="F175" s="3"/>
      <c r="G175" s="3"/>
      <c r="H175" s="3"/>
      <c r="I175" s="3"/>
      <c r="J175" s="3"/>
      <c r="K175" s="22"/>
      <c r="L175" s="22"/>
      <c r="M175" s="22"/>
    </row>
    <row r="176" spans="2:13" x14ac:dyDescent="0.25">
      <c r="B176" s="3"/>
      <c r="C176" s="3"/>
      <c r="D176" s="3"/>
      <c r="E176" s="3"/>
      <c r="F176" s="3"/>
      <c r="G176" s="3"/>
      <c r="H176" s="3"/>
      <c r="I176" s="3"/>
      <c r="J176" s="3"/>
      <c r="K176" s="22"/>
      <c r="L176" s="22"/>
      <c r="M176" s="22"/>
    </row>
    <row r="177" spans="2:13" x14ac:dyDescent="0.25">
      <c r="B177" s="3"/>
      <c r="C177" s="3"/>
      <c r="D177" s="3"/>
      <c r="E177" s="3"/>
      <c r="F177" s="3"/>
      <c r="G177" s="3"/>
      <c r="H177" s="3"/>
      <c r="I177" s="3"/>
      <c r="J177" s="3"/>
      <c r="K177" s="22"/>
      <c r="L177" s="22"/>
      <c r="M177" s="22"/>
    </row>
    <row r="178" spans="2:13" x14ac:dyDescent="0.25">
      <c r="B178" s="3"/>
      <c r="C178" s="3"/>
      <c r="D178" s="3"/>
      <c r="E178" s="3"/>
      <c r="F178" s="3"/>
      <c r="G178" s="3"/>
      <c r="H178" s="3"/>
      <c r="I178" s="3"/>
      <c r="J178" s="3"/>
      <c r="K178" s="22"/>
      <c r="L178" s="22"/>
      <c r="M178" s="22"/>
    </row>
    <row r="179" spans="2:13" x14ac:dyDescent="0.25">
      <c r="B179" s="3"/>
      <c r="C179" s="3"/>
      <c r="D179" s="3"/>
      <c r="E179" s="3"/>
      <c r="F179" s="3"/>
      <c r="G179" s="3"/>
      <c r="H179" s="3"/>
      <c r="I179" s="3"/>
      <c r="J179" s="3"/>
      <c r="K179" s="22"/>
      <c r="L179" s="22"/>
      <c r="M179" s="22"/>
    </row>
    <row r="180" spans="2:13" x14ac:dyDescent="0.25">
      <c r="B180" s="3"/>
      <c r="C180" s="3"/>
      <c r="D180" s="3"/>
      <c r="E180" s="3"/>
      <c r="F180" s="3"/>
      <c r="G180" s="3"/>
      <c r="H180" s="3"/>
      <c r="I180" s="3"/>
      <c r="J180" s="3"/>
      <c r="K180" s="22"/>
      <c r="L180" s="22"/>
      <c r="M180" s="22"/>
    </row>
    <row r="181" spans="2:13" x14ac:dyDescent="0.25">
      <c r="B181" s="3"/>
      <c r="C181" s="3"/>
      <c r="D181" s="3"/>
      <c r="E181" s="3"/>
      <c r="F181" s="3"/>
      <c r="G181" s="3"/>
      <c r="H181" s="3"/>
      <c r="I181" s="3"/>
      <c r="J181" s="3"/>
      <c r="K181" s="22"/>
      <c r="L181" s="22"/>
      <c r="M181" s="22"/>
    </row>
    <row r="182" spans="2:13" x14ac:dyDescent="0.25">
      <c r="B182" s="3"/>
      <c r="C182" s="3"/>
      <c r="D182" s="3"/>
      <c r="E182" s="3"/>
      <c r="F182" s="3"/>
      <c r="G182" s="3"/>
      <c r="H182" s="3"/>
      <c r="I182" s="3"/>
      <c r="J182" s="3"/>
      <c r="K182" s="22"/>
      <c r="L182" s="22"/>
      <c r="M182" s="22"/>
    </row>
    <row r="183" spans="2:13" x14ac:dyDescent="0.25">
      <c r="B183" s="3"/>
      <c r="C183" s="3"/>
      <c r="D183" s="3"/>
      <c r="E183" s="3"/>
      <c r="F183" s="3"/>
      <c r="G183" s="3"/>
      <c r="H183" s="3"/>
      <c r="I183" s="3"/>
      <c r="J183" s="3"/>
      <c r="K183" s="22"/>
      <c r="L183" s="22"/>
      <c r="M183" s="22"/>
    </row>
    <row r="184" spans="2:13" x14ac:dyDescent="0.25">
      <c r="B184" s="3"/>
      <c r="C184" s="3"/>
      <c r="D184" s="3"/>
      <c r="E184" s="3"/>
      <c r="F184" s="3"/>
      <c r="G184" s="3"/>
      <c r="H184" s="3"/>
      <c r="I184" s="3"/>
      <c r="J184" s="3"/>
      <c r="K184" s="22"/>
      <c r="L184" s="22"/>
      <c r="M184" s="22"/>
    </row>
    <row r="185" spans="2:13" x14ac:dyDescent="0.25">
      <c r="B185" s="3"/>
      <c r="C185" s="3"/>
      <c r="D185" s="3"/>
      <c r="E185" s="3"/>
      <c r="F185" s="3"/>
      <c r="G185" s="3"/>
      <c r="H185" s="3"/>
      <c r="I185" s="3"/>
      <c r="J185" s="3"/>
      <c r="K185" s="22"/>
      <c r="L185" s="22"/>
      <c r="M185" s="22"/>
    </row>
    <row r="186" spans="2:13" x14ac:dyDescent="0.25">
      <c r="B186" s="3"/>
      <c r="C186" s="3"/>
      <c r="D186" s="3"/>
      <c r="E186" s="3"/>
      <c r="F186" s="3"/>
      <c r="G186" s="3"/>
      <c r="H186" s="3"/>
      <c r="I186" s="3"/>
      <c r="J186" s="3"/>
      <c r="K186" s="22"/>
      <c r="L186" s="22"/>
      <c r="M186" s="22"/>
    </row>
    <row r="187" spans="2:13" x14ac:dyDescent="0.25">
      <c r="B187" s="3"/>
      <c r="C187" s="3"/>
      <c r="D187" s="3"/>
      <c r="E187" s="3"/>
      <c r="F187" s="3"/>
      <c r="G187" s="3"/>
      <c r="H187" s="3"/>
      <c r="I187" s="3"/>
      <c r="J187" s="3"/>
      <c r="K187" s="22"/>
      <c r="L187" s="22"/>
      <c r="M187" s="22"/>
    </row>
    <row r="188" spans="2:13" x14ac:dyDescent="0.25">
      <c r="B188" s="3"/>
      <c r="C188" s="3"/>
      <c r="D188" s="3"/>
      <c r="E188" s="3"/>
      <c r="F188" s="3"/>
      <c r="G188" s="3"/>
      <c r="H188" s="3"/>
      <c r="I188" s="3"/>
      <c r="J188" s="3"/>
      <c r="K188" s="22"/>
      <c r="L188" s="22"/>
      <c r="M188" s="22"/>
    </row>
    <row r="189" spans="2:13" x14ac:dyDescent="0.25">
      <c r="B189" s="3"/>
      <c r="C189" s="3"/>
      <c r="D189" s="3"/>
      <c r="E189" s="3"/>
      <c r="F189" s="3"/>
      <c r="G189" s="3"/>
      <c r="H189" s="3"/>
      <c r="I189" s="3"/>
      <c r="J189" s="3"/>
      <c r="K189" s="22"/>
      <c r="L189" s="22"/>
      <c r="M189" s="22"/>
    </row>
    <row r="190" spans="2:13" x14ac:dyDescent="0.25">
      <c r="B190" s="20"/>
      <c r="C190" s="20"/>
      <c r="D190" s="20"/>
      <c r="E190" s="20"/>
      <c r="F190" s="20"/>
      <c r="G190" s="20"/>
      <c r="H190" s="20"/>
      <c r="I190" s="20"/>
      <c r="J190" s="20"/>
      <c r="K190" s="20"/>
      <c r="L190" s="20"/>
      <c r="M190" s="20"/>
    </row>
    <row r="191" spans="2:13" x14ac:dyDescent="0.25">
      <c r="B191" s="20"/>
      <c r="C191" s="20"/>
      <c r="D191" s="20"/>
      <c r="E191" s="20"/>
      <c r="F191" s="20"/>
      <c r="G191" s="20"/>
      <c r="H191" s="20"/>
      <c r="I191" s="20"/>
      <c r="J191" s="20"/>
      <c r="K191" s="20"/>
      <c r="L191" s="20"/>
      <c r="M191" s="20"/>
    </row>
    <row r="192" spans="2:13" x14ac:dyDescent="0.25">
      <c r="B192" s="20"/>
      <c r="C192" s="20"/>
      <c r="D192" s="20"/>
      <c r="E192" s="20"/>
      <c r="F192" s="20"/>
      <c r="G192" s="20"/>
      <c r="H192" s="20"/>
      <c r="I192" s="20"/>
      <c r="J192" s="20"/>
      <c r="K192" s="20"/>
      <c r="L192" s="20"/>
      <c r="M192" s="20"/>
    </row>
    <row r="193" spans="2:13" x14ac:dyDescent="0.25">
      <c r="B193" s="20"/>
      <c r="C193" s="20"/>
      <c r="D193" s="20"/>
      <c r="E193" s="20"/>
      <c r="F193" s="20"/>
      <c r="G193" s="20"/>
      <c r="H193" s="20"/>
      <c r="I193" s="20"/>
      <c r="J193" s="20"/>
      <c r="K193" s="20"/>
      <c r="L193" s="20"/>
      <c r="M193" s="20"/>
    </row>
    <row r="194" spans="2:13" x14ac:dyDescent="0.25">
      <c r="B194" s="20"/>
      <c r="C194" s="20"/>
      <c r="D194" s="20"/>
      <c r="E194" s="20"/>
      <c r="F194" s="20"/>
      <c r="G194" s="20"/>
      <c r="H194" s="20"/>
      <c r="I194" s="20"/>
      <c r="J194" s="20"/>
      <c r="K194" s="20"/>
      <c r="L194" s="20"/>
      <c r="M194" s="20"/>
    </row>
    <row r="195" spans="2:13" x14ac:dyDescent="0.25">
      <c r="B195" s="20"/>
      <c r="C195" s="20"/>
      <c r="D195" s="20"/>
      <c r="E195" s="20"/>
      <c r="F195" s="20"/>
      <c r="G195" s="20"/>
      <c r="H195" s="20"/>
      <c r="I195" s="20"/>
      <c r="J195" s="20"/>
      <c r="K195" s="20"/>
      <c r="L195" s="20"/>
      <c r="M195" s="20"/>
    </row>
    <row r="196" spans="2:13" x14ac:dyDescent="0.25">
      <c r="B196" s="20"/>
      <c r="C196" s="20"/>
      <c r="D196" s="20"/>
      <c r="E196" s="20"/>
      <c r="F196" s="20"/>
      <c r="G196" s="20"/>
      <c r="H196" s="20"/>
      <c r="I196" s="20"/>
      <c r="J196" s="20"/>
      <c r="K196" s="20"/>
      <c r="L196" s="20"/>
      <c r="M196" s="20"/>
    </row>
    <row r="197" spans="2:13" x14ac:dyDescent="0.25">
      <c r="B197" s="20"/>
      <c r="C197" s="20"/>
      <c r="D197" s="20"/>
      <c r="E197" s="20"/>
      <c r="F197" s="20"/>
      <c r="G197" s="20"/>
      <c r="H197" s="20"/>
      <c r="I197" s="20"/>
      <c r="J197" s="20"/>
      <c r="K197" s="20"/>
      <c r="L197" s="20"/>
      <c r="M197" s="20"/>
    </row>
    <row r="198" spans="2:13" x14ac:dyDescent="0.25">
      <c r="B198" s="20"/>
      <c r="C198" s="20"/>
      <c r="D198" s="20"/>
      <c r="E198" s="20"/>
      <c r="F198" s="20"/>
      <c r="G198" s="20"/>
      <c r="H198" s="20"/>
      <c r="I198" s="20"/>
      <c r="J198" s="20"/>
      <c r="K198" s="20"/>
      <c r="L198" s="20"/>
      <c r="M198" s="20"/>
    </row>
    <row r="199" spans="2:13" x14ac:dyDescent="0.25">
      <c r="B199" s="20"/>
      <c r="C199" s="20"/>
      <c r="D199" s="20"/>
      <c r="E199" s="20"/>
      <c r="F199" s="20"/>
      <c r="G199" s="20"/>
      <c r="H199" s="20"/>
      <c r="I199" s="20"/>
      <c r="J199" s="20"/>
      <c r="K199" s="20"/>
      <c r="L199" s="20"/>
      <c r="M199" s="20"/>
    </row>
    <row r="200" spans="2:13" x14ac:dyDescent="0.25">
      <c r="B200" s="20"/>
      <c r="C200" s="20"/>
      <c r="D200" s="20"/>
      <c r="E200" s="20"/>
      <c r="F200" s="20"/>
      <c r="G200" s="20"/>
      <c r="H200" s="20"/>
      <c r="I200" s="20"/>
      <c r="J200" s="20"/>
      <c r="K200" s="20"/>
      <c r="L200" s="20"/>
      <c r="M200" s="20"/>
    </row>
    <row r="201" spans="2:13" x14ac:dyDescent="0.25">
      <c r="B201" s="20"/>
      <c r="C201" s="20"/>
      <c r="D201" s="20"/>
      <c r="E201" s="20"/>
      <c r="F201" s="20"/>
      <c r="G201" s="20"/>
      <c r="H201" s="20"/>
      <c r="I201" s="20"/>
      <c r="J201" s="20"/>
      <c r="K201" s="20"/>
      <c r="L201" s="20"/>
      <c r="M201" s="20"/>
    </row>
    <row r="202" spans="2:13" x14ac:dyDescent="0.25">
      <c r="B202" s="20"/>
      <c r="C202" s="20"/>
      <c r="D202" s="20"/>
      <c r="E202" s="20"/>
      <c r="F202" s="20"/>
      <c r="G202" s="20"/>
      <c r="H202" s="20"/>
      <c r="I202" s="20"/>
      <c r="J202" s="20"/>
      <c r="K202" s="20"/>
      <c r="L202" s="20"/>
      <c r="M202" s="20"/>
    </row>
    <row r="203" spans="2:13" x14ac:dyDescent="0.25">
      <c r="B203" s="20"/>
      <c r="C203" s="20"/>
      <c r="D203" s="20"/>
      <c r="E203" s="20"/>
      <c r="F203" s="20"/>
      <c r="G203" s="20"/>
      <c r="H203" s="20"/>
      <c r="I203" s="20"/>
      <c r="J203" s="20"/>
      <c r="K203" s="20"/>
      <c r="L203" s="20"/>
      <c r="M203" s="20"/>
    </row>
    <row r="204" spans="2:13" x14ac:dyDescent="0.25">
      <c r="B204" s="20"/>
      <c r="C204" s="20"/>
      <c r="D204" s="20"/>
      <c r="E204" s="20"/>
      <c r="F204" s="20"/>
      <c r="G204" s="20"/>
      <c r="H204" s="20"/>
      <c r="I204" s="20"/>
      <c r="J204" s="20"/>
      <c r="K204" s="20"/>
      <c r="L204" s="20"/>
      <c r="M204" s="20"/>
    </row>
    <row r="205" spans="2:13" x14ac:dyDescent="0.25">
      <c r="B205" s="20"/>
      <c r="C205" s="20"/>
      <c r="D205" s="20"/>
      <c r="E205" s="20"/>
      <c r="F205" s="20"/>
      <c r="G205" s="20"/>
      <c r="H205" s="20"/>
      <c r="I205" s="20"/>
      <c r="J205" s="20"/>
      <c r="K205" s="20"/>
      <c r="L205" s="20"/>
      <c r="M205" s="20"/>
    </row>
    <row r="206" spans="2:13" x14ac:dyDescent="0.25">
      <c r="B206" s="20"/>
      <c r="C206" s="20"/>
      <c r="D206" s="20"/>
      <c r="E206" s="20"/>
      <c r="F206" s="20"/>
      <c r="G206" s="20"/>
      <c r="H206" s="20"/>
      <c r="I206" s="20"/>
      <c r="J206" s="20"/>
      <c r="K206" s="20"/>
      <c r="L206" s="20"/>
      <c r="M206" s="20"/>
    </row>
    <row r="207" spans="2:13" x14ac:dyDescent="0.25">
      <c r="B207" s="20"/>
      <c r="C207" s="20"/>
      <c r="D207" s="20"/>
      <c r="E207" s="20"/>
      <c r="F207" s="20"/>
      <c r="G207" s="20"/>
      <c r="H207" s="20"/>
      <c r="I207" s="20"/>
      <c r="J207" s="20"/>
      <c r="K207" s="20"/>
      <c r="L207" s="20"/>
      <c r="M207" s="20"/>
    </row>
    <row r="208" spans="2:13" x14ac:dyDescent="0.25">
      <c r="B208" s="20"/>
      <c r="C208" s="20"/>
      <c r="D208" s="20"/>
      <c r="E208" s="20"/>
      <c r="F208" s="20"/>
      <c r="G208" s="20"/>
      <c r="H208" s="20"/>
      <c r="I208" s="20"/>
      <c r="J208" s="20"/>
      <c r="K208" s="20"/>
      <c r="L208" s="20"/>
      <c r="M208"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workbookViewId="0">
      <selection activeCell="N71" sqref="N71"/>
    </sheetView>
  </sheetViews>
  <sheetFormatPr defaultRowHeight="15" x14ac:dyDescent="0.25"/>
  <cols>
    <col min="1" max="1" width="5.7109375" customWidth="1"/>
    <col min="2" max="2" width="6.42578125" customWidth="1"/>
    <col min="3" max="3" width="10.42578125" customWidth="1"/>
    <col min="4" max="4" width="12.5703125" customWidth="1"/>
    <col min="5" max="5" width="5.85546875" customWidth="1"/>
    <col min="6" max="6" width="16" customWidth="1"/>
    <col min="7" max="7" width="9" customWidth="1"/>
    <col min="8" max="8" width="12.7109375" customWidth="1"/>
    <col min="10" max="10" width="15.5703125" customWidth="1"/>
    <col min="11" max="12" width="13" customWidth="1"/>
    <col min="13" max="13" width="16.7109375" customWidth="1"/>
    <col min="14" max="14" width="22.140625" customWidth="1"/>
    <col min="15" max="15" width="16.5703125" customWidth="1"/>
  </cols>
  <sheetData>
    <row r="1" spans="1:16" ht="30.75" thickBot="1" x14ac:dyDescent="0.3">
      <c r="A1" s="12" t="s">
        <v>0</v>
      </c>
      <c r="B1" s="9" t="s">
        <v>1</v>
      </c>
      <c r="C1" s="9" t="s">
        <v>2</v>
      </c>
      <c r="D1" s="9" t="s">
        <v>3</v>
      </c>
      <c r="E1" s="9" t="s">
        <v>4</v>
      </c>
      <c r="F1" s="9" t="s">
        <v>5</v>
      </c>
      <c r="G1" s="9" t="s">
        <v>6</v>
      </c>
      <c r="H1" s="9" t="s">
        <v>7</v>
      </c>
      <c r="I1" s="9" t="s">
        <v>8</v>
      </c>
      <c r="J1" s="13" t="s">
        <v>54</v>
      </c>
      <c r="K1" s="29" t="s">
        <v>77</v>
      </c>
      <c r="L1" s="28" t="s">
        <v>51</v>
      </c>
      <c r="M1" s="14" t="s">
        <v>52</v>
      </c>
      <c r="N1" s="15" t="s">
        <v>53</v>
      </c>
      <c r="O1" s="27" t="s">
        <v>50</v>
      </c>
    </row>
    <row r="2" spans="1:16" ht="45" x14ac:dyDescent="0.25">
      <c r="A2" s="10">
        <v>2023</v>
      </c>
      <c r="B2" s="10" t="s">
        <v>9</v>
      </c>
      <c r="C2" s="10" t="s">
        <v>10</v>
      </c>
      <c r="D2" s="10" t="s">
        <v>11</v>
      </c>
      <c r="E2" s="10">
        <v>0.05</v>
      </c>
      <c r="F2" s="16">
        <v>34.72</v>
      </c>
      <c r="G2" s="10">
        <v>0.36</v>
      </c>
      <c r="H2" s="10">
        <v>0.14000000000000001</v>
      </c>
      <c r="I2" s="10">
        <v>0.1</v>
      </c>
      <c r="J2" s="10">
        <f>(F2-$B$95)/($B$94-$B$95)*100</f>
        <v>77.034080442124647</v>
      </c>
      <c r="K2" s="17">
        <f t="shared" ref="K2:K33" si="0">AVERAGEIFS($E$2:$E$91,$D$2:$D$91,D2)</f>
        <v>0.15</v>
      </c>
      <c r="L2" s="17">
        <f t="shared" ref="L2:L33" si="1">E2-K2</f>
        <v>-9.9999999999999992E-2</v>
      </c>
      <c r="M2" s="17">
        <f>G2/J2</f>
        <v>4.6732562774013551E-3</v>
      </c>
      <c r="N2" s="17">
        <f t="shared" ref="N2:N33" si="2">J2*H2</f>
        <v>10.784771261897452</v>
      </c>
      <c r="O2" s="17" t="str">
        <f t="shared" ref="O2:O33" si="3">IF(J2&lt;=_xlfn.QUARTILE.INC($J$2:$J$91,1),"Low",IF(J2&lt;=_xlfn.QUARTILE.INC($J$2:$J$91,2),"Moderate",IF(J2&lt;=_xlfn.QUARTILE.INC($J$2:$J$91,3),"High","Top")))</f>
        <v>Top</v>
      </c>
      <c r="P2" t="str">
        <f>IF(ISNUMBER('Updated Data'!E2),"OK","NOT NUMERIC")</f>
        <v>OK</v>
      </c>
    </row>
    <row r="3" spans="1:16" ht="45" x14ac:dyDescent="0.25">
      <c r="A3" s="11">
        <v>2023</v>
      </c>
      <c r="B3" s="11" t="s">
        <v>12</v>
      </c>
      <c r="C3" s="11" t="s">
        <v>13</v>
      </c>
      <c r="D3" s="11" t="s">
        <v>14</v>
      </c>
      <c r="E3" s="11">
        <v>0.11</v>
      </c>
      <c r="F3" s="18">
        <v>28.14</v>
      </c>
      <c r="G3" s="11">
        <v>0</v>
      </c>
      <c r="H3" s="11">
        <v>0.16</v>
      </c>
      <c r="I3" s="11">
        <v>7.0000000000000007E-2</v>
      </c>
      <c r="J3" s="11">
        <f t="shared" ref="J3:J66" si="4">(F3-$B$95)/($B$94-$B$95)*100</f>
        <v>56.831439975437512</v>
      </c>
      <c r="K3" s="17">
        <f t="shared" si="0"/>
        <v>0.12666666666666668</v>
      </c>
      <c r="L3" s="17">
        <f t="shared" si="1"/>
        <v>-1.6666666666666677E-2</v>
      </c>
      <c r="M3" s="17">
        <f t="shared" ref="M3:M66" si="5">G3/J3</f>
        <v>0</v>
      </c>
      <c r="N3" s="17">
        <f t="shared" si="2"/>
        <v>9.0930303960700023</v>
      </c>
      <c r="O3" s="17" t="str">
        <f t="shared" si="3"/>
        <v>High</v>
      </c>
      <c r="P3" t="str">
        <f>IF(ISNUMBER('Updated Data'!E3),"OK","NOT NUMERIC")</f>
        <v>OK</v>
      </c>
    </row>
    <row r="4" spans="1:16" ht="45" x14ac:dyDescent="0.25">
      <c r="A4" s="11">
        <v>2023</v>
      </c>
      <c r="B4" s="11" t="s">
        <v>15</v>
      </c>
      <c r="C4" s="11" t="s">
        <v>16</v>
      </c>
      <c r="D4" s="11" t="s">
        <v>17</v>
      </c>
      <c r="E4" s="11">
        <v>0.03</v>
      </c>
      <c r="F4" s="18">
        <v>21.2</v>
      </c>
      <c r="G4" s="11">
        <v>0.15</v>
      </c>
      <c r="H4" s="11">
        <v>0.49</v>
      </c>
      <c r="I4" s="11">
        <v>0.03</v>
      </c>
      <c r="J4" s="11">
        <f t="shared" si="4"/>
        <v>35.523487872275098</v>
      </c>
      <c r="K4" s="17">
        <f t="shared" si="0"/>
        <v>6.433333333333334E-2</v>
      </c>
      <c r="L4" s="17">
        <f t="shared" si="1"/>
        <v>-3.4333333333333341E-2</v>
      </c>
      <c r="M4" s="17">
        <f t="shared" si="5"/>
        <v>4.222558340535869E-3</v>
      </c>
      <c r="N4" s="17">
        <f t="shared" si="2"/>
        <v>17.406509057414798</v>
      </c>
      <c r="O4" s="17" t="str">
        <f t="shared" si="3"/>
        <v>Moderate</v>
      </c>
      <c r="P4" t="str">
        <f>IF(ISNUMBER('Updated Data'!E4),"OK","NOT NUMERIC")</f>
        <v>OK</v>
      </c>
    </row>
    <row r="5" spans="1:16" ht="75" x14ac:dyDescent="0.25">
      <c r="A5" s="11">
        <v>2023</v>
      </c>
      <c r="B5" s="11" t="s">
        <v>18</v>
      </c>
      <c r="C5" s="11" t="s">
        <v>19</v>
      </c>
      <c r="D5" s="11" t="s">
        <v>17</v>
      </c>
      <c r="E5" s="11">
        <v>0.02</v>
      </c>
      <c r="F5" s="18">
        <v>22.9</v>
      </c>
      <c r="G5" s="11">
        <v>0.12</v>
      </c>
      <c r="H5" s="11">
        <v>0.34</v>
      </c>
      <c r="I5" s="11">
        <v>0.02</v>
      </c>
      <c r="J5" s="11">
        <f t="shared" si="4"/>
        <v>40.743015044519488</v>
      </c>
      <c r="K5" s="17">
        <f t="shared" si="0"/>
        <v>6.433333333333334E-2</v>
      </c>
      <c r="L5" s="17">
        <f t="shared" si="1"/>
        <v>-4.4333333333333336E-2</v>
      </c>
      <c r="M5" s="17">
        <f t="shared" si="5"/>
        <v>2.9452901281085161E-3</v>
      </c>
      <c r="N5" s="17">
        <f t="shared" si="2"/>
        <v>13.852625115136627</v>
      </c>
      <c r="O5" s="17" t="str">
        <f t="shared" si="3"/>
        <v>Moderate</v>
      </c>
      <c r="P5" t="str">
        <f>IF(ISNUMBER('Updated Data'!E5),"OK","NOT NUMERIC")</f>
        <v>OK</v>
      </c>
    </row>
    <row r="6" spans="1:16" ht="75" x14ac:dyDescent="0.25">
      <c r="A6" s="11">
        <v>2023</v>
      </c>
      <c r="B6" s="11" t="s">
        <v>20</v>
      </c>
      <c r="C6" s="11" t="s">
        <v>21</v>
      </c>
      <c r="D6" s="11" t="s">
        <v>17</v>
      </c>
      <c r="E6" s="11">
        <v>0.03</v>
      </c>
      <c r="F6" s="18">
        <v>17.7</v>
      </c>
      <c r="G6" s="11">
        <v>0.15</v>
      </c>
      <c r="H6" s="11">
        <v>0.28000000000000003</v>
      </c>
      <c r="I6" s="11">
        <v>0.06</v>
      </c>
      <c r="J6" s="11">
        <f t="shared" si="4"/>
        <v>24.777402517654281</v>
      </c>
      <c r="K6" s="17">
        <f t="shared" si="0"/>
        <v>6.433333333333334E-2</v>
      </c>
      <c r="L6" s="17">
        <f t="shared" si="1"/>
        <v>-3.4333333333333341E-2</v>
      </c>
      <c r="M6" s="17">
        <f t="shared" si="5"/>
        <v>6.0539033457249073E-3</v>
      </c>
      <c r="N6" s="17">
        <f t="shared" si="2"/>
        <v>6.937672704943199</v>
      </c>
      <c r="O6" s="17" t="str">
        <f t="shared" si="3"/>
        <v>Low</v>
      </c>
      <c r="P6" t="str">
        <f>IF(ISNUMBER('Updated Data'!E6),"OK","NOT NUMERIC")</f>
        <v>OK</v>
      </c>
    </row>
    <row r="7" spans="1:16" ht="75" x14ac:dyDescent="0.25">
      <c r="A7" s="11">
        <v>2023</v>
      </c>
      <c r="B7" s="11" t="s">
        <v>22</v>
      </c>
      <c r="C7" s="11" t="s">
        <v>23</v>
      </c>
      <c r="D7" s="11" t="s">
        <v>17</v>
      </c>
      <c r="E7" s="11">
        <v>0.01</v>
      </c>
      <c r="F7" s="18">
        <v>27.85</v>
      </c>
      <c r="G7" s="11">
        <v>0.06</v>
      </c>
      <c r="H7" s="11">
        <v>0.15</v>
      </c>
      <c r="I7" s="11">
        <v>0.03</v>
      </c>
      <c r="J7" s="11">
        <f t="shared" si="4"/>
        <v>55.941050046054656</v>
      </c>
      <c r="K7" s="17">
        <f t="shared" si="0"/>
        <v>6.433333333333334E-2</v>
      </c>
      <c r="L7" s="17">
        <f t="shared" si="1"/>
        <v>-5.4333333333333338E-2</v>
      </c>
      <c r="M7" s="17">
        <f t="shared" si="5"/>
        <v>1.0725576289791437E-3</v>
      </c>
      <c r="N7" s="17">
        <f t="shared" si="2"/>
        <v>8.3911575069081987</v>
      </c>
      <c r="O7" s="17" t="str">
        <f t="shared" si="3"/>
        <v>High</v>
      </c>
      <c r="P7" t="str">
        <f>IF(ISNUMBER('Updated Data'!E7),"OK","NOT NUMERIC")</f>
        <v>OK</v>
      </c>
    </row>
    <row r="8" spans="1:16" ht="60" x14ac:dyDescent="0.25">
      <c r="A8" s="11">
        <v>2023</v>
      </c>
      <c r="B8" s="11" t="s">
        <v>24</v>
      </c>
      <c r="C8" s="11" t="s">
        <v>25</v>
      </c>
      <c r="D8" s="11" t="s">
        <v>17</v>
      </c>
      <c r="E8" s="11">
        <v>0.03</v>
      </c>
      <c r="F8" s="18">
        <v>17.25</v>
      </c>
      <c r="G8" s="11">
        <v>0.12</v>
      </c>
      <c r="H8" s="11">
        <v>0.43</v>
      </c>
      <c r="I8" s="11">
        <v>0.02</v>
      </c>
      <c r="J8" s="11">
        <f t="shared" si="4"/>
        <v>23.395762972060176</v>
      </c>
      <c r="K8" s="17">
        <f t="shared" si="0"/>
        <v>6.433333333333334E-2</v>
      </c>
      <c r="L8" s="17">
        <f t="shared" si="1"/>
        <v>-3.4333333333333341E-2</v>
      </c>
      <c r="M8" s="17">
        <f t="shared" si="5"/>
        <v>5.1291338582677166E-3</v>
      </c>
      <c r="N8" s="17">
        <f t="shared" si="2"/>
        <v>10.060178077985876</v>
      </c>
      <c r="O8" s="17" t="str">
        <f t="shared" si="3"/>
        <v>Low</v>
      </c>
      <c r="P8" t="str">
        <f>IF(ISNUMBER('Updated Data'!E8),"OK","NOT NUMERIC")</f>
        <v>OK</v>
      </c>
    </row>
    <row r="9" spans="1:16" ht="75" x14ac:dyDescent="0.25">
      <c r="A9" s="11">
        <v>2023</v>
      </c>
      <c r="B9" s="11" t="s">
        <v>26</v>
      </c>
      <c r="C9" s="11" t="s">
        <v>27</v>
      </c>
      <c r="D9" s="11" t="s">
        <v>28</v>
      </c>
      <c r="E9" s="11">
        <v>7.0000000000000007E-2</v>
      </c>
      <c r="F9" s="18">
        <v>32.15</v>
      </c>
      <c r="G9" s="11">
        <v>0</v>
      </c>
      <c r="H9" s="11">
        <v>0.36</v>
      </c>
      <c r="I9" s="11">
        <v>0.08</v>
      </c>
      <c r="J9" s="11">
        <f t="shared" si="4"/>
        <v>69.143383481731647</v>
      </c>
      <c r="K9" s="17">
        <f t="shared" si="0"/>
        <v>0.12000000000000004</v>
      </c>
      <c r="L9" s="17">
        <f t="shared" si="1"/>
        <v>-5.0000000000000031E-2</v>
      </c>
      <c r="M9" s="17">
        <f t="shared" si="5"/>
        <v>0</v>
      </c>
      <c r="N9" s="17">
        <f t="shared" si="2"/>
        <v>24.891618053423393</v>
      </c>
      <c r="O9" s="17" t="str">
        <f t="shared" si="3"/>
        <v>Top</v>
      </c>
      <c r="P9" t="str">
        <f>IF(ISNUMBER('Updated Data'!E9),"OK","NOT NUMERIC")</f>
        <v>OK</v>
      </c>
    </row>
    <row r="10" spans="1:16" ht="60" x14ac:dyDescent="0.25">
      <c r="A10" s="11">
        <v>2023</v>
      </c>
      <c r="B10" s="11" t="s">
        <v>29</v>
      </c>
      <c r="C10" s="11" t="s">
        <v>30</v>
      </c>
      <c r="D10" s="11" t="s">
        <v>28</v>
      </c>
      <c r="E10" s="11">
        <v>0.06</v>
      </c>
      <c r="F10" s="19">
        <v>35.770000000000003</v>
      </c>
      <c r="G10" s="11">
        <v>0.46</v>
      </c>
      <c r="H10" s="11">
        <v>0.32</v>
      </c>
      <c r="I10" s="11">
        <v>0.05</v>
      </c>
      <c r="J10" s="11">
        <f t="shared" si="4"/>
        <v>80.25790604851089</v>
      </c>
      <c r="K10" s="17">
        <f t="shared" si="0"/>
        <v>0.12000000000000004</v>
      </c>
      <c r="L10" s="17">
        <f t="shared" si="1"/>
        <v>-6.0000000000000039E-2</v>
      </c>
      <c r="M10" s="17">
        <f t="shared" si="5"/>
        <v>5.7315225707727634E-3</v>
      </c>
      <c r="N10" s="17">
        <f t="shared" si="2"/>
        <v>25.682529935523487</v>
      </c>
      <c r="O10" s="17" t="str">
        <f t="shared" si="3"/>
        <v>Top</v>
      </c>
      <c r="P10" t="str">
        <f>IF(ISNUMBER('Updated Data'!E10),"OK","NOT NUMERIC")</f>
        <v>OK</v>
      </c>
    </row>
    <row r="11" spans="1:16" ht="30" x14ac:dyDescent="0.25">
      <c r="A11" s="11">
        <v>2023</v>
      </c>
      <c r="B11" s="11" t="s">
        <v>31</v>
      </c>
      <c r="C11" s="11" t="s">
        <v>32</v>
      </c>
      <c r="D11" s="11" t="s">
        <v>33</v>
      </c>
      <c r="E11" s="11">
        <v>0.05</v>
      </c>
      <c r="F11" s="18">
        <v>10.3</v>
      </c>
      <c r="G11" s="11">
        <v>0.7</v>
      </c>
      <c r="H11" s="11">
        <v>0.45</v>
      </c>
      <c r="I11" s="11">
        <v>0.02</v>
      </c>
      <c r="J11" s="11">
        <f t="shared" si="4"/>
        <v>2.0571077678845562</v>
      </c>
      <c r="K11" s="17">
        <f t="shared" si="0"/>
        <v>0.13249999999999998</v>
      </c>
      <c r="L11" s="17">
        <f t="shared" si="1"/>
        <v>-8.2499999999999976E-2</v>
      </c>
      <c r="M11" s="17">
        <f t="shared" si="5"/>
        <v>0.34028358208955223</v>
      </c>
      <c r="N11" s="17">
        <f t="shared" si="2"/>
        <v>0.92569849554805028</v>
      </c>
      <c r="O11" s="17" t="str">
        <f t="shared" si="3"/>
        <v>Low</v>
      </c>
      <c r="P11" t="str">
        <f>IF(ISNUMBER('Updated Data'!E11),"OK","NOT NUMERIC")</f>
        <v>OK</v>
      </c>
    </row>
    <row r="12" spans="1:16" ht="30" x14ac:dyDescent="0.25">
      <c r="A12" s="11">
        <v>2023</v>
      </c>
      <c r="B12" s="11" t="s">
        <v>34</v>
      </c>
      <c r="C12" s="11" t="s">
        <v>35</v>
      </c>
      <c r="D12" s="11" t="s">
        <v>36</v>
      </c>
      <c r="E12" s="11">
        <v>0.13</v>
      </c>
      <c r="F12" s="18">
        <v>31.2</v>
      </c>
      <c r="G12" s="11">
        <v>0.15</v>
      </c>
      <c r="H12" s="11">
        <v>0.38</v>
      </c>
      <c r="I12" s="11">
        <v>0.09</v>
      </c>
      <c r="J12" s="11">
        <f t="shared" si="4"/>
        <v>66.22658888547744</v>
      </c>
      <c r="K12" s="17">
        <f t="shared" si="0"/>
        <v>0.18583333333333332</v>
      </c>
      <c r="L12" s="17">
        <f t="shared" si="1"/>
        <v>-5.5833333333333318E-2</v>
      </c>
      <c r="M12" s="17">
        <f t="shared" si="5"/>
        <v>2.2649513212795545E-3</v>
      </c>
      <c r="N12" s="17">
        <f t="shared" si="2"/>
        <v>25.166103776481428</v>
      </c>
      <c r="O12" s="17" t="str">
        <f t="shared" si="3"/>
        <v>High</v>
      </c>
      <c r="P12" t="str">
        <f>IF(ISNUMBER('Updated Data'!E12),"OK","NOT NUMERIC")</f>
        <v>OK</v>
      </c>
    </row>
    <row r="13" spans="1:16" ht="90" x14ac:dyDescent="0.25">
      <c r="A13" s="11">
        <v>2023</v>
      </c>
      <c r="B13" s="11" t="s">
        <v>37</v>
      </c>
      <c r="C13" s="11" t="s">
        <v>38</v>
      </c>
      <c r="D13" s="11" t="s">
        <v>36</v>
      </c>
      <c r="E13" s="11">
        <v>0.23</v>
      </c>
      <c r="F13" s="18">
        <v>21.87</v>
      </c>
      <c r="G13" s="11">
        <v>0</v>
      </c>
      <c r="H13" s="11">
        <v>0.56999999999999995</v>
      </c>
      <c r="I13" s="11">
        <v>0.05</v>
      </c>
      <c r="J13" s="11">
        <f t="shared" si="4"/>
        <v>37.580595640159657</v>
      </c>
      <c r="K13" s="17">
        <f t="shared" si="0"/>
        <v>0.18583333333333332</v>
      </c>
      <c r="L13" s="17">
        <f t="shared" si="1"/>
        <v>4.4166666666666687E-2</v>
      </c>
      <c r="M13" s="17">
        <f t="shared" si="5"/>
        <v>0</v>
      </c>
      <c r="N13" s="17">
        <f t="shared" si="2"/>
        <v>21.420939514891003</v>
      </c>
      <c r="O13" s="17" t="str">
        <f t="shared" si="3"/>
        <v>Moderate</v>
      </c>
      <c r="P13" t="str">
        <f>IF(ISNUMBER('Updated Data'!E13),"OK","NOT NUMERIC")</f>
        <v>OK</v>
      </c>
    </row>
    <row r="14" spans="1:16" ht="60" x14ac:dyDescent="0.25">
      <c r="A14" s="11">
        <v>2023</v>
      </c>
      <c r="B14" s="11" t="s">
        <v>39</v>
      </c>
      <c r="C14" s="11" t="s">
        <v>40</v>
      </c>
      <c r="D14" s="11" t="s">
        <v>33</v>
      </c>
      <c r="E14" s="11">
        <v>0.11</v>
      </c>
      <c r="F14" s="18">
        <v>25.4</v>
      </c>
      <c r="G14" s="11">
        <v>0.46</v>
      </c>
      <c r="H14" s="11">
        <v>0.61</v>
      </c>
      <c r="I14" s="11">
        <v>0.08</v>
      </c>
      <c r="J14" s="11">
        <f t="shared" si="4"/>
        <v>48.418790297820074</v>
      </c>
      <c r="K14" s="17">
        <f t="shared" si="0"/>
        <v>0.13249999999999998</v>
      </c>
      <c r="L14" s="17">
        <f t="shared" si="1"/>
        <v>-2.2499999999999978E-2</v>
      </c>
      <c r="M14" s="17">
        <f t="shared" si="5"/>
        <v>9.500443880786304E-3</v>
      </c>
      <c r="N14" s="17">
        <f t="shared" si="2"/>
        <v>29.535462081670243</v>
      </c>
      <c r="O14" s="17" t="str">
        <f t="shared" si="3"/>
        <v>High</v>
      </c>
      <c r="P14" t="str">
        <f>IF(ISNUMBER('Updated Data'!E14),"OK","NOT NUMERIC")</f>
        <v>OK</v>
      </c>
    </row>
    <row r="15" spans="1:16" ht="45" x14ac:dyDescent="0.25">
      <c r="A15" s="11">
        <v>2023</v>
      </c>
      <c r="B15" s="11" t="s">
        <v>41</v>
      </c>
      <c r="C15" s="11" t="s">
        <v>42</v>
      </c>
      <c r="D15" s="11" t="s">
        <v>43</v>
      </c>
      <c r="E15" s="11">
        <v>0.08</v>
      </c>
      <c r="F15" s="18">
        <v>42.2</v>
      </c>
      <c r="G15" s="11">
        <v>0</v>
      </c>
      <c r="H15" s="11">
        <v>0.28000000000000003</v>
      </c>
      <c r="I15" s="11">
        <v>0.04</v>
      </c>
      <c r="J15" s="11">
        <f t="shared" si="4"/>
        <v>100</v>
      </c>
      <c r="K15" s="17">
        <f t="shared" si="0"/>
        <v>0.10166666666666668</v>
      </c>
      <c r="L15" s="17">
        <f t="shared" si="1"/>
        <v>-2.1666666666666681E-2</v>
      </c>
      <c r="M15" s="17">
        <f t="shared" si="5"/>
        <v>0</v>
      </c>
      <c r="N15" s="17">
        <f t="shared" si="2"/>
        <v>28.000000000000004</v>
      </c>
      <c r="O15" s="17" t="str">
        <f t="shared" si="3"/>
        <v>Top</v>
      </c>
      <c r="P15" t="str">
        <f>IF(ISNUMBER('Updated Data'!E15),"OK","NOT NUMERIC")</f>
        <v>OK</v>
      </c>
    </row>
    <row r="16" spans="1:16" ht="45" x14ac:dyDescent="0.25">
      <c r="A16" s="11">
        <v>2023</v>
      </c>
      <c r="B16" s="11" t="s">
        <v>44</v>
      </c>
      <c r="C16" s="11" t="s">
        <v>45</v>
      </c>
      <c r="D16" s="11" t="s">
        <v>28</v>
      </c>
      <c r="E16" s="11">
        <v>0.27</v>
      </c>
      <c r="F16" s="18">
        <v>18.04</v>
      </c>
      <c r="G16" s="11">
        <v>0.8</v>
      </c>
      <c r="H16" s="11">
        <v>0.5</v>
      </c>
      <c r="I16" s="11">
        <v>0.02</v>
      </c>
      <c r="J16" s="11">
        <f t="shared" si="4"/>
        <v>25.821307952103155</v>
      </c>
      <c r="K16" s="17">
        <f t="shared" si="0"/>
        <v>0.12000000000000004</v>
      </c>
      <c r="L16" s="17">
        <f t="shared" si="1"/>
        <v>0.14999999999999997</v>
      </c>
      <c r="M16" s="17">
        <f t="shared" si="5"/>
        <v>3.0982164090368618E-2</v>
      </c>
      <c r="N16" s="17">
        <f t="shared" si="2"/>
        <v>12.910653976051577</v>
      </c>
      <c r="O16" s="17" t="str">
        <f t="shared" si="3"/>
        <v>Moderate</v>
      </c>
      <c r="P16" t="str">
        <f>IF(ISNUMBER('Updated Data'!E16),"OK","NOT NUMERIC")</f>
        <v>OK</v>
      </c>
    </row>
    <row r="17" spans="1:16" ht="45" x14ac:dyDescent="0.25">
      <c r="A17" s="11">
        <v>2022</v>
      </c>
      <c r="B17" s="11" t="s">
        <v>9</v>
      </c>
      <c r="C17" s="11" t="s">
        <v>10</v>
      </c>
      <c r="D17" s="11" t="s">
        <v>11</v>
      </c>
      <c r="E17" s="11">
        <v>0.11</v>
      </c>
      <c r="F17" s="18">
        <v>33.57</v>
      </c>
      <c r="G17" s="11">
        <v>0.3</v>
      </c>
      <c r="H17" s="11">
        <v>0.18</v>
      </c>
      <c r="I17" s="11">
        <v>0.09</v>
      </c>
      <c r="J17" s="11">
        <f t="shared" si="4"/>
        <v>73.503223825606383</v>
      </c>
      <c r="K17" s="17">
        <f t="shared" si="0"/>
        <v>0.15</v>
      </c>
      <c r="L17" s="17">
        <f t="shared" si="1"/>
        <v>-3.9999999999999994E-2</v>
      </c>
      <c r="M17" s="17">
        <f t="shared" si="5"/>
        <v>4.0814536340852128E-3</v>
      </c>
      <c r="N17" s="17">
        <f t="shared" si="2"/>
        <v>13.230580288609149</v>
      </c>
      <c r="O17" s="17" t="str">
        <f t="shared" si="3"/>
        <v>Top</v>
      </c>
      <c r="P17" t="str">
        <f>IF(ISNUMBER('Updated Data'!E17),"OK","NOT NUMERIC")</f>
        <v>OK</v>
      </c>
    </row>
    <row r="18" spans="1:16" ht="45" x14ac:dyDescent="0.25">
      <c r="A18" s="11">
        <v>2022</v>
      </c>
      <c r="B18" s="11" t="s">
        <v>12</v>
      </c>
      <c r="C18" s="11" t="s">
        <v>13</v>
      </c>
      <c r="D18" s="11" t="s">
        <v>14</v>
      </c>
      <c r="E18" s="11">
        <v>0.08</v>
      </c>
      <c r="F18" s="18">
        <v>27.5</v>
      </c>
      <c r="G18" s="11">
        <v>0</v>
      </c>
      <c r="H18" s="11">
        <v>0.14000000000000001</v>
      </c>
      <c r="I18" s="11">
        <v>0.09</v>
      </c>
      <c r="J18" s="11">
        <f t="shared" si="4"/>
        <v>54.866441510592558</v>
      </c>
      <c r="K18" s="17">
        <f t="shared" si="0"/>
        <v>0.12666666666666668</v>
      </c>
      <c r="L18" s="17">
        <f t="shared" si="1"/>
        <v>-4.6666666666666676E-2</v>
      </c>
      <c r="M18" s="17">
        <f t="shared" si="5"/>
        <v>0</v>
      </c>
      <c r="N18" s="17">
        <f t="shared" si="2"/>
        <v>7.6813018114829585</v>
      </c>
      <c r="O18" s="17" t="str">
        <f t="shared" si="3"/>
        <v>High</v>
      </c>
      <c r="P18" t="str">
        <f>IF(ISNUMBER('Updated Data'!E18),"OK","NOT NUMERIC")</f>
        <v>OK</v>
      </c>
    </row>
    <row r="19" spans="1:16" ht="45" x14ac:dyDescent="0.25">
      <c r="A19" s="11">
        <v>2022</v>
      </c>
      <c r="B19" s="11" t="s">
        <v>15</v>
      </c>
      <c r="C19" s="11" t="s">
        <v>16</v>
      </c>
      <c r="D19" s="11" t="s">
        <v>17</v>
      </c>
      <c r="E19" s="11">
        <v>0.03</v>
      </c>
      <c r="F19" s="18">
        <v>21</v>
      </c>
      <c r="G19" s="11">
        <v>0.15</v>
      </c>
      <c r="H19" s="11">
        <v>0.48</v>
      </c>
      <c r="I19" s="11">
        <v>0.03</v>
      </c>
      <c r="J19" s="11">
        <f t="shared" si="4"/>
        <v>34.909425852011047</v>
      </c>
      <c r="K19" s="17">
        <f t="shared" si="0"/>
        <v>6.433333333333334E-2</v>
      </c>
      <c r="L19" s="17">
        <f t="shared" si="1"/>
        <v>-3.4333333333333341E-2</v>
      </c>
      <c r="M19" s="17">
        <f t="shared" si="5"/>
        <v>4.2968337730870717E-3</v>
      </c>
      <c r="N19" s="17">
        <f t="shared" si="2"/>
        <v>16.756524408965301</v>
      </c>
      <c r="O19" s="17" t="str">
        <f t="shared" si="3"/>
        <v>Moderate</v>
      </c>
      <c r="P19" t="str">
        <f>IF(ISNUMBER('Updated Data'!E19),"OK","NOT NUMERIC")</f>
        <v>OK</v>
      </c>
    </row>
    <row r="20" spans="1:16" ht="75" x14ac:dyDescent="0.25">
      <c r="A20" s="11">
        <v>2022</v>
      </c>
      <c r="B20" s="11" t="s">
        <v>18</v>
      </c>
      <c r="C20" s="11" t="s">
        <v>19</v>
      </c>
      <c r="D20" s="11" t="s">
        <v>17</v>
      </c>
      <c r="E20" s="11">
        <v>0.01</v>
      </c>
      <c r="F20" s="18">
        <v>22.6</v>
      </c>
      <c r="G20" s="11">
        <v>0.13</v>
      </c>
      <c r="H20" s="11">
        <v>0.3</v>
      </c>
      <c r="I20" s="11">
        <v>0.01</v>
      </c>
      <c r="J20" s="11">
        <f t="shared" si="4"/>
        <v>39.82192201412343</v>
      </c>
      <c r="K20" s="17">
        <f t="shared" si="0"/>
        <v>6.433333333333334E-2</v>
      </c>
      <c r="L20" s="17">
        <f t="shared" si="1"/>
        <v>-5.4333333333333338E-2</v>
      </c>
      <c r="M20" s="17">
        <f t="shared" si="5"/>
        <v>3.2645335389360061E-3</v>
      </c>
      <c r="N20" s="17">
        <f t="shared" si="2"/>
        <v>11.946576604237029</v>
      </c>
      <c r="O20" s="17" t="str">
        <f t="shared" si="3"/>
        <v>Moderate</v>
      </c>
      <c r="P20" t="str">
        <f>IF(ISNUMBER('Updated Data'!E20),"OK","NOT NUMERIC")</f>
        <v>OK</v>
      </c>
    </row>
    <row r="21" spans="1:16" ht="75" x14ac:dyDescent="0.25">
      <c r="A21" s="11">
        <v>2022</v>
      </c>
      <c r="B21" s="11" t="s">
        <v>20</v>
      </c>
      <c r="C21" s="11" t="s">
        <v>21</v>
      </c>
      <c r="D21" s="11" t="s">
        <v>17</v>
      </c>
      <c r="E21" s="11">
        <v>0.03</v>
      </c>
      <c r="F21" s="18">
        <v>17.649999999999999</v>
      </c>
      <c r="G21" s="11">
        <v>0.15</v>
      </c>
      <c r="H21" s="11">
        <v>0.3</v>
      </c>
      <c r="I21" s="11">
        <v>0.06</v>
      </c>
      <c r="J21" s="11">
        <f t="shared" si="4"/>
        <v>24.623887012588263</v>
      </c>
      <c r="K21" s="17">
        <f t="shared" si="0"/>
        <v>6.433333333333334E-2</v>
      </c>
      <c r="L21" s="17">
        <f t="shared" si="1"/>
        <v>-3.4333333333333341E-2</v>
      </c>
      <c r="M21" s="17">
        <f t="shared" si="5"/>
        <v>6.0916458852867846E-3</v>
      </c>
      <c r="N21" s="17">
        <f t="shared" si="2"/>
        <v>7.3871661037764786</v>
      </c>
      <c r="O21" s="17" t="str">
        <f t="shared" si="3"/>
        <v>Low</v>
      </c>
      <c r="P21" t="str">
        <f>IF(ISNUMBER('Updated Data'!E21),"OK","NOT NUMERIC")</f>
        <v>OK</v>
      </c>
    </row>
    <row r="22" spans="1:16" ht="75" x14ac:dyDescent="0.25">
      <c r="A22" s="11">
        <v>2022</v>
      </c>
      <c r="B22" s="11" t="s">
        <v>22</v>
      </c>
      <c r="C22" s="11" t="s">
        <v>23</v>
      </c>
      <c r="D22" s="11" t="s">
        <v>17</v>
      </c>
      <c r="E22" s="11">
        <v>0</v>
      </c>
      <c r="F22" s="18">
        <v>27.5</v>
      </c>
      <c r="G22" s="11">
        <v>0.06</v>
      </c>
      <c r="H22" s="11">
        <v>0.14000000000000001</v>
      </c>
      <c r="I22" s="11">
        <v>0</v>
      </c>
      <c r="J22" s="11">
        <f t="shared" si="4"/>
        <v>54.866441510592558</v>
      </c>
      <c r="K22" s="17">
        <f t="shared" si="0"/>
        <v>6.433333333333334E-2</v>
      </c>
      <c r="L22" s="17">
        <f t="shared" si="1"/>
        <v>-6.433333333333334E-2</v>
      </c>
      <c r="M22" s="17">
        <f t="shared" si="5"/>
        <v>1.0935646334639061E-3</v>
      </c>
      <c r="N22" s="17">
        <f t="shared" si="2"/>
        <v>7.6813018114829585</v>
      </c>
      <c r="O22" s="17" t="str">
        <f t="shared" si="3"/>
        <v>High</v>
      </c>
      <c r="P22" t="str">
        <f>IF(ISNUMBER('Updated Data'!E22),"OK","NOT NUMERIC")</f>
        <v>OK</v>
      </c>
    </row>
    <row r="23" spans="1:16" ht="60" x14ac:dyDescent="0.25">
      <c r="A23" s="11">
        <v>2022</v>
      </c>
      <c r="B23" s="11" t="s">
        <v>24</v>
      </c>
      <c r="C23" s="11" t="s">
        <v>25</v>
      </c>
      <c r="D23" s="11" t="s">
        <v>17</v>
      </c>
      <c r="E23" s="11">
        <v>0.02</v>
      </c>
      <c r="F23" s="18">
        <v>17.05</v>
      </c>
      <c r="G23" s="11">
        <v>0.11</v>
      </c>
      <c r="H23" s="11">
        <v>0.38</v>
      </c>
      <c r="I23" s="11">
        <v>0.01</v>
      </c>
      <c r="J23" s="11">
        <f t="shared" si="4"/>
        <v>22.781700951796129</v>
      </c>
      <c r="K23" s="17">
        <f t="shared" si="0"/>
        <v>6.433333333333334E-2</v>
      </c>
      <c r="L23" s="17">
        <f t="shared" si="1"/>
        <v>-4.4333333333333336E-2</v>
      </c>
      <c r="M23" s="17">
        <f t="shared" si="5"/>
        <v>4.8284366576819412E-3</v>
      </c>
      <c r="N23" s="17">
        <f t="shared" si="2"/>
        <v>8.6570463616825286</v>
      </c>
      <c r="O23" s="17" t="str">
        <f t="shared" si="3"/>
        <v>Low</v>
      </c>
      <c r="P23" t="str">
        <f>IF(ISNUMBER('Updated Data'!E23),"OK","NOT NUMERIC")</f>
        <v>OK</v>
      </c>
    </row>
    <row r="24" spans="1:16" ht="75" x14ac:dyDescent="0.25">
      <c r="A24" s="11">
        <v>2022</v>
      </c>
      <c r="B24" s="11" t="s">
        <v>26</v>
      </c>
      <c r="C24" s="11" t="s">
        <v>27</v>
      </c>
      <c r="D24" s="11" t="s">
        <v>28</v>
      </c>
      <c r="E24" s="11">
        <v>0.05</v>
      </c>
      <c r="F24" s="18">
        <v>31.9</v>
      </c>
      <c r="G24" s="11">
        <v>0.01</v>
      </c>
      <c r="H24" s="11">
        <v>0.34</v>
      </c>
      <c r="I24" s="11">
        <v>7.0000000000000007E-2</v>
      </c>
      <c r="J24" s="11">
        <f t="shared" si="4"/>
        <v>68.375805956401578</v>
      </c>
      <c r="K24" s="17">
        <f t="shared" si="0"/>
        <v>0.12000000000000004</v>
      </c>
      <c r="L24" s="17">
        <f t="shared" si="1"/>
        <v>-7.0000000000000034E-2</v>
      </c>
      <c r="M24" s="17">
        <f t="shared" si="5"/>
        <v>1.4625056129321962E-4</v>
      </c>
      <c r="N24" s="17">
        <f t="shared" si="2"/>
        <v>23.24777402517654</v>
      </c>
      <c r="O24" s="17" t="str">
        <f t="shared" si="3"/>
        <v>Top</v>
      </c>
      <c r="P24" t="str">
        <f>IF(ISNUMBER('Updated Data'!E24),"OK","NOT NUMERIC")</f>
        <v>OK</v>
      </c>
    </row>
    <row r="25" spans="1:16" ht="60" x14ac:dyDescent="0.25">
      <c r="A25" s="11">
        <v>2022</v>
      </c>
      <c r="B25" s="11" t="s">
        <v>29</v>
      </c>
      <c r="C25" s="11" t="s">
        <v>30</v>
      </c>
      <c r="D25" s="11" t="s">
        <v>28</v>
      </c>
      <c r="E25" s="11">
        <v>0.06</v>
      </c>
      <c r="F25" s="18">
        <v>35.46</v>
      </c>
      <c r="G25" s="11">
        <v>0.48</v>
      </c>
      <c r="H25" s="11">
        <v>0.31</v>
      </c>
      <c r="I25" s="11">
        <v>0.03</v>
      </c>
      <c r="J25" s="11">
        <f t="shared" si="4"/>
        <v>79.306109917101622</v>
      </c>
      <c r="K25" s="17">
        <f t="shared" si="0"/>
        <v>0.12000000000000004</v>
      </c>
      <c r="L25" s="17">
        <f t="shared" si="1"/>
        <v>-6.0000000000000039E-2</v>
      </c>
      <c r="M25" s="17">
        <f t="shared" si="5"/>
        <v>6.0524970963995355E-3</v>
      </c>
      <c r="N25" s="17">
        <f t="shared" si="2"/>
        <v>24.584894074301502</v>
      </c>
      <c r="O25" s="17" t="str">
        <f t="shared" si="3"/>
        <v>Top</v>
      </c>
      <c r="P25" t="str">
        <f>IF(ISNUMBER('Updated Data'!E25),"OK","NOT NUMERIC")</f>
        <v>OK</v>
      </c>
    </row>
    <row r="26" spans="1:16" ht="30" x14ac:dyDescent="0.25">
      <c r="A26" s="11">
        <v>2022</v>
      </c>
      <c r="B26" s="11" t="s">
        <v>31</v>
      </c>
      <c r="C26" s="11" t="s">
        <v>32</v>
      </c>
      <c r="D26" s="11" t="s">
        <v>33</v>
      </c>
      <c r="E26" s="11">
        <v>0.01</v>
      </c>
      <c r="F26" s="18">
        <v>9.8800000000000008</v>
      </c>
      <c r="G26" s="11">
        <v>0.72</v>
      </c>
      <c r="H26" s="11">
        <v>0.48</v>
      </c>
      <c r="I26" s="11">
        <v>0.01</v>
      </c>
      <c r="J26" s="11">
        <f t="shared" si="4"/>
        <v>0.7675775253300583</v>
      </c>
      <c r="K26" s="17">
        <f t="shared" si="0"/>
        <v>0.13249999999999998</v>
      </c>
      <c r="L26" s="17">
        <f t="shared" si="1"/>
        <v>-0.12249999999999998</v>
      </c>
      <c r="M26" s="17">
        <f t="shared" si="5"/>
        <v>0.93801599999999996</v>
      </c>
      <c r="N26" s="17">
        <f t="shared" si="2"/>
        <v>0.36843721215842795</v>
      </c>
      <c r="O26" s="17" t="str">
        <f t="shared" si="3"/>
        <v>Low</v>
      </c>
      <c r="P26" t="str">
        <f>IF(ISNUMBER('Updated Data'!E26),"OK","NOT NUMERIC")</f>
        <v>OK</v>
      </c>
    </row>
    <row r="27" spans="1:16" ht="30" x14ac:dyDescent="0.25">
      <c r="A27" s="11">
        <v>2022</v>
      </c>
      <c r="B27" s="11" t="s">
        <v>34</v>
      </c>
      <c r="C27" s="11" t="s">
        <v>35</v>
      </c>
      <c r="D27" s="11" t="s">
        <v>36</v>
      </c>
      <c r="E27" s="11">
        <v>0.1</v>
      </c>
      <c r="F27" s="18">
        <v>31</v>
      </c>
      <c r="G27" s="11">
        <v>0.19</v>
      </c>
      <c r="H27" s="11">
        <v>0.4</v>
      </c>
      <c r="I27" s="11">
        <v>7.0000000000000007E-2</v>
      </c>
      <c r="J27" s="11">
        <f t="shared" si="4"/>
        <v>65.612526865213383</v>
      </c>
      <c r="K27" s="17">
        <f t="shared" si="0"/>
        <v>0.18583333333333332</v>
      </c>
      <c r="L27" s="17">
        <f t="shared" si="1"/>
        <v>-8.5833333333333317E-2</v>
      </c>
      <c r="M27" s="17">
        <f t="shared" si="5"/>
        <v>2.8957884885353301E-3</v>
      </c>
      <c r="N27" s="17">
        <f t="shared" si="2"/>
        <v>26.245010746085356</v>
      </c>
      <c r="O27" s="17" t="str">
        <f t="shared" si="3"/>
        <v>High</v>
      </c>
      <c r="P27" t="str">
        <f>IF(ISNUMBER('Updated Data'!E27),"OK","NOT NUMERIC")</f>
        <v>OK</v>
      </c>
    </row>
    <row r="28" spans="1:16" ht="90" x14ac:dyDescent="0.25">
      <c r="A28" s="11">
        <v>2022</v>
      </c>
      <c r="B28" s="11" t="s">
        <v>37</v>
      </c>
      <c r="C28" s="11" t="s">
        <v>38</v>
      </c>
      <c r="D28" s="11" t="s">
        <v>36</v>
      </c>
      <c r="E28" s="11">
        <v>0.27</v>
      </c>
      <c r="F28" s="18">
        <v>21.74</v>
      </c>
      <c r="G28" s="11">
        <v>0</v>
      </c>
      <c r="H28" s="11">
        <v>0.56000000000000005</v>
      </c>
      <c r="I28" s="11">
        <v>0.03</v>
      </c>
      <c r="J28" s="11">
        <f t="shared" si="4"/>
        <v>37.181455326988015</v>
      </c>
      <c r="K28" s="17">
        <f t="shared" si="0"/>
        <v>0.18583333333333332</v>
      </c>
      <c r="L28" s="17">
        <f t="shared" si="1"/>
        <v>8.4166666666666695E-2</v>
      </c>
      <c r="M28" s="17">
        <f t="shared" si="5"/>
        <v>0</v>
      </c>
      <c r="N28" s="17">
        <f t="shared" si="2"/>
        <v>20.821614983113289</v>
      </c>
      <c r="O28" s="17" t="str">
        <f t="shared" si="3"/>
        <v>Moderate</v>
      </c>
      <c r="P28" t="str">
        <f>IF(ISNUMBER('Updated Data'!E28),"OK","NOT NUMERIC")</f>
        <v>OK</v>
      </c>
    </row>
    <row r="29" spans="1:16" ht="60" x14ac:dyDescent="0.25">
      <c r="A29" s="11">
        <v>2022</v>
      </c>
      <c r="B29" s="11" t="s">
        <v>39</v>
      </c>
      <c r="C29" s="11" t="s">
        <v>40</v>
      </c>
      <c r="D29" s="11" t="s">
        <v>33</v>
      </c>
      <c r="E29" s="11">
        <v>0.11</v>
      </c>
      <c r="F29" s="18">
        <v>25.3</v>
      </c>
      <c r="G29" s="11">
        <v>0.46</v>
      </c>
      <c r="H29" s="11">
        <v>0.63</v>
      </c>
      <c r="I29" s="11">
        <v>0.06</v>
      </c>
      <c r="J29" s="11">
        <f t="shared" si="4"/>
        <v>48.111759287688052</v>
      </c>
      <c r="K29" s="17">
        <f t="shared" si="0"/>
        <v>0.13249999999999998</v>
      </c>
      <c r="L29" s="17">
        <f t="shared" si="1"/>
        <v>-2.2499999999999978E-2</v>
      </c>
      <c r="M29" s="17">
        <f t="shared" si="5"/>
        <v>9.5610721123165297E-3</v>
      </c>
      <c r="N29" s="17">
        <f t="shared" si="2"/>
        <v>30.310408351243474</v>
      </c>
      <c r="O29" s="17" t="str">
        <f t="shared" si="3"/>
        <v>High</v>
      </c>
      <c r="P29" t="str">
        <f>IF(ISNUMBER('Updated Data'!E29),"OK","NOT NUMERIC")</f>
        <v>OK</v>
      </c>
    </row>
    <row r="30" spans="1:16" ht="45" x14ac:dyDescent="0.25">
      <c r="A30" s="11">
        <v>2022</v>
      </c>
      <c r="B30" s="11" t="s">
        <v>41</v>
      </c>
      <c r="C30" s="11" t="s">
        <v>42</v>
      </c>
      <c r="D30" s="11" t="s">
        <v>43</v>
      </c>
      <c r="E30" s="11">
        <v>0.2</v>
      </c>
      <c r="F30" s="18">
        <v>42</v>
      </c>
      <c r="G30" s="11">
        <v>0</v>
      </c>
      <c r="H30" s="11">
        <v>0.28000000000000003</v>
      </c>
      <c r="I30" s="11">
        <v>0.03</v>
      </c>
      <c r="J30" s="11">
        <f t="shared" si="4"/>
        <v>99.385937979735957</v>
      </c>
      <c r="K30" s="17">
        <f t="shared" si="0"/>
        <v>0.10166666666666668</v>
      </c>
      <c r="L30" s="17">
        <f t="shared" si="1"/>
        <v>9.8333333333333328E-2</v>
      </c>
      <c r="M30" s="17">
        <f t="shared" si="5"/>
        <v>0</v>
      </c>
      <c r="N30" s="17">
        <f t="shared" si="2"/>
        <v>27.82806263432607</v>
      </c>
      <c r="O30" s="17" t="str">
        <f t="shared" si="3"/>
        <v>Top</v>
      </c>
      <c r="P30" t="str">
        <f>IF(ISNUMBER('Updated Data'!E30),"OK","NOT NUMERIC")</f>
        <v>OK</v>
      </c>
    </row>
    <row r="31" spans="1:16" ht="45" x14ac:dyDescent="0.25">
      <c r="A31" s="11">
        <v>2022</v>
      </c>
      <c r="B31" s="11" t="s">
        <v>44</v>
      </c>
      <c r="C31" s="11" t="s">
        <v>45</v>
      </c>
      <c r="D31" s="11" t="s">
        <v>28</v>
      </c>
      <c r="E31" s="11">
        <v>0.3</v>
      </c>
      <c r="F31" s="18">
        <v>17.95</v>
      </c>
      <c r="G31" s="11">
        <v>0.78</v>
      </c>
      <c r="H31" s="11">
        <v>0.46</v>
      </c>
      <c r="I31" s="11">
        <v>0</v>
      </c>
      <c r="J31" s="11">
        <f t="shared" si="4"/>
        <v>25.544980042984339</v>
      </c>
      <c r="K31" s="17">
        <f t="shared" si="0"/>
        <v>0.12000000000000004</v>
      </c>
      <c r="L31" s="17">
        <f t="shared" si="1"/>
        <v>0.17999999999999994</v>
      </c>
      <c r="M31" s="17">
        <f t="shared" si="5"/>
        <v>3.0534375000000006E-2</v>
      </c>
      <c r="N31" s="17">
        <f t="shared" si="2"/>
        <v>11.750690819772796</v>
      </c>
      <c r="O31" s="17" t="str">
        <f t="shared" si="3"/>
        <v>Low</v>
      </c>
      <c r="P31" t="str">
        <f>IF(ISNUMBER('Updated Data'!E31),"OK","NOT NUMERIC")</f>
        <v>OK</v>
      </c>
    </row>
    <row r="32" spans="1:16" ht="45" x14ac:dyDescent="0.25">
      <c r="A32" s="11">
        <v>2021</v>
      </c>
      <c r="B32" s="11" t="s">
        <v>9</v>
      </c>
      <c r="C32" s="11" t="s">
        <v>10</v>
      </c>
      <c r="D32" s="11" t="s">
        <v>11</v>
      </c>
      <c r="E32" s="11">
        <v>7.0000000000000007E-2</v>
      </c>
      <c r="F32" s="18">
        <v>31.29</v>
      </c>
      <c r="G32" s="11">
        <v>0.37</v>
      </c>
      <c r="H32" s="11">
        <v>0.2</v>
      </c>
      <c r="I32" s="11">
        <v>0.02</v>
      </c>
      <c r="J32" s="11">
        <f t="shared" si="4"/>
        <v>66.502916794596246</v>
      </c>
      <c r="K32" s="17">
        <f t="shared" si="0"/>
        <v>0.15</v>
      </c>
      <c r="L32" s="17">
        <f t="shared" si="1"/>
        <v>-7.9999999999999988E-2</v>
      </c>
      <c r="M32" s="17">
        <f t="shared" si="5"/>
        <v>5.5636657433056329E-3</v>
      </c>
      <c r="N32" s="17">
        <f t="shared" si="2"/>
        <v>13.300583358919249</v>
      </c>
      <c r="O32" s="17" t="str">
        <f t="shared" si="3"/>
        <v>High</v>
      </c>
      <c r="P32" t="str">
        <f>IF(ISNUMBER('Updated Data'!E32),"OK","NOT NUMERIC")</f>
        <v>OK</v>
      </c>
    </row>
    <row r="33" spans="1:16" ht="45" x14ac:dyDescent="0.25">
      <c r="A33" s="11">
        <v>2021</v>
      </c>
      <c r="B33" s="11" t="s">
        <v>12</v>
      </c>
      <c r="C33" s="11" t="s">
        <v>13</v>
      </c>
      <c r="D33" s="11" t="s">
        <v>14</v>
      </c>
      <c r="E33" s="11">
        <v>0.04</v>
      </c>
      <c r="F33" s="18">
        <v>26.23</v>
      </c>
      <c r="G33" s="11">
        <v>0</v>
      </c>
      <c r="H33" s="11">
        <v>0.12</v>
      </c>
      <c r="I33" s="11">
        <v>0.04</v>
      </c>
      <c r="J33" s="11">
        <f t="shared" si="4"/>
        <v>50.967147681915883</v>
      </c>
      <c r="K33" s="17">
        <f t="shared" si="0"/>
        <v>0.12666666666666668</v>
      </c>
      <c r="L33" s="17">
        <f t="shared" si="1"/>
        <v>-8.666666666666667E-2</v>
      </c>
      <c r="M33" s="17">
        <f t="shared" si="5"/>
        <v>0</v>
      </c>
      <c r="N33" s="17">
        <f t="shared" si="2"/>
        <v>6.1160577218299057</v>
      </c>
      <c r="O33" s="17" t="str">
        <f t="shared" si="3"/>
        <v>High</v>
      </c>
      <c r="P33" t="str">
        <f>IF(ISNUMBER('Updated Data'!E33),"OK","NOT NUMERIC")</f>
        <v>OK</v>
      </c>
    </row>
    <row r="34" spans="1:16" ht="45" x14ac:dyDescent="0.25">
      <c r="A34" s="11">
        <v>2021</v>
      </c>
      <c r="B34" s="11" t="s">
        <v>15</v>
      </c>
      <c r="C34" s="11" t="s">
        <v>16</v>
      </c>
      <c r="D34" s="11" t="s">
        <v>17</v>
      </c>
      <c r="E34" s="11">
        <v>0.03</v>
      </c>
      <c r="F34" s="18">
        <v>20.6</v>
      </c>
      <c r="G34" s="11">
        <v>0.14000000000000001</v>
      </c>
      <c r="H34" s="11">
        <v>0.41</v>
      </c>
      <c r="I34" s="11">
        <v>0</v>
      </c>
      <c r="J34" s="11">
        <f t="shared" si="4"/>
        <v>33.68130181148296</v>
      </c>
      <c r="K34" s="17">
        <f t="shared" ref="K34:K65" si="6">AVERAGEIFS($E$2:$E$91,$D$2:$D$91,D34)</f>
        <v>6.433333333333334E-2</v>
      </c>
      <c r="L34" s="17">
        <f t="shared" ref="L34:L65" si="7">E34-K34</f>
        <v>-3.4333333333333341E-2</v>
      </c>
      <c r="M34" s="17">
        <f t="shared" si="5"/>
        <v>4.1566089334548776E-3</v>
      </c>
      <c r="N34" s="17">
        <f t="shared" ref="N34:N65" si="8">J34*H34</f>
        <v>13.809333742708013</v>
      </c>
      <c r="O34" s="17" t="str">
        <f t="shared" ref="O34:O65" si="9">IF(J34&lt;=_xlfn.QUARTILE.INC($J$2:$J$91,1),"Low",IF(J34&lt;=_xlfn.QUARTILE.INC($J$2:$J$91,2),"Moderate",IF(J34&lt;=_xlfn.QUARTILE.INC($J$2:$J$91,3),"High","Top")))</f>
        <v>Moderate</v>
      </c>
      <c r="P34" t="str">
        <f>IF(ISNUMBER('Updated Data'!E34),"OK","NOT NUMERIC")</f>
        <v>OK</v>
      </c>
    </row>
    <row r="35" spans="1:16" ht="75" x14ac:dyDescent="0.25">
      <c r="A35" s="11">
        <v>2021</v>
      </c>
      <c r="B35" s="11" t="s">
        <v>18</v>
      </c>
      <c r="C35" s="11" t="s">
        <v>19</v>
      </c>
      <c r="D35" s="11" t="s">
        <v>17</v>
      </c>
      <c r="E35" s="11">
        <v>0.01</v>
      </c>
      <c r="F35" s="18">
        <v>22.17</v>
      </c>
      <c r="G35" s="11">
        <v>0.13</v>
      </c>
      <c r="H35" s="11">
        <v>0.18</v>
      </c>
      <c r="I35" s="11">
        <v>0.01</v>
      </c>
      <c r="J35" s="11">
        <f t="shared" si="4"/>
        <v>38.50168867055573</v>
      </c>
      <c r="K35" s="17">
        <f t="shared" si="6"/>
        <v>6.433333333333334E-2</v>
      </c>
      <c r="L35" s="17">
        <f t="shared" si="7"/>
        <v>-5.4333333333333338E-2</v>
      </c>
      <c r="M35" s="17">
        <f t="shared" si="5"/>
        <v>3.3764752791068577E-3</v>
      </c>
      <c r="N35" s="17">
        <f t="shared" si="8"/>
        <v>6.930303960700031</v>
      </c>
      <c r="O35" s="17" t="str">
        <f t="shared" si="9"/>
        <v>Moderate</v>
      </c>
      <c r="P35" t="str">
        <f>IF(ISNUMBER('Updated Data'!E35),"OK","NOT NUMERIC")</f>
        <v>OK</v>
      </c>
    </row>
    <row r="36" spans="1:16" ht="75" x14ac:dyDescent="0.25">
      <c r="A36" s="11">
        <v>2021</v>
      </c>
      <c r="B36" s="11" t="s">
        <v>20</v>
      </c>
      <c r="C36" s="11" t="s">
        <v>21</v>
      </c>
      <c r="D36" s="11" t="s">
        <v>17</v>
      </c>
      <c r="E36" s="11">
        <v>0.02</v>
      </c>
      <c r="F36" s="18">
        <v>17.5</v>
      </c>
      <c r="G36" s="11">
        <v>0.16</v>
      </c>
      <c r="H36" s="11">
        <v>0.21</v>
      </c>
      <c r="I36" s="11">
        <v>0.05</v>
      </c>
      <c r="J36" s="11">
        <f t="shared" si="4"/>
        <v>24.163340497390234</v>
      </c>
      <c r="K36" s="17">
        <f t="shared" si="6"/>
        <v>6.433333333333334E-2</v>
      </c>
      <c r="L36" s="17">
        <f t="shared" si="7"/>
        <v>-4.4333333333333336E-2</v>
      </c>
      <c r="M36" s="17">
        <f t="shared" si="5"/>
        <v>6.621601016518425E-3</v>
      </c>
      <c r="N36" s="17">
        <f t="shared" si="8"/>
        <v>5.0743015044519488</v>
      </c>
      <c r="O36" s="17" t="str">
        <f t="shared" si="9"/>
        <v>Low</v>
      </c>
      <c r="P36" t="str">
        <f>IF(ISNUMBER('Updated Data'!E36),"OK","NOT NUMERIC")</f>
        <v>OK</v>
      </c>
    </row>
    <row r="37" spans="1:16" ht="75" x14ac:dyDescent="0.25">
      <c r="A37" s="11">
        <v>2021</v>
      </c>
      <c r="B37" s="11" t="s">
        <v>22</v>
      </c>
      <c r="C37" s="11" t="s">
        <v>23</v>
      </c>
      <c r="D37" s="11" t="s">
        <v>17</v>
      </c>
      <c r="E37" s="11">
        <v>0</v>
      </c>
      <c r="F37" s="18">
        <v>26.87</v>
      </c>
      <c r="G37" s="11">
        <v>0.05</v>
      </c>
      <c r="H37" s="11">
        <v>0.13</v>
      </c>
      <c r="I37" s="11">
        <v>0.02</v>
      </c>
      <c r="J37" s="11">
        <f t="shared" si="4"/>
        <v>52.932146146760829</v>
      </c>
      <c r="K37" s="17">
        <f t="shared" si="6"/>
        <v>6.433333333333334E-2</v>
      </c>
      <c r="L37" s="17">
        <f t="shared" si="7"/>
        <v>-6.433333333333334E-2</v>
      </c>
      <c r="M37" s="17">
        <f t="shared" si="5"/>
        <v>9.4460556844547553E-4</v>
      </c>
      <c r="N37" s="17">
        <f t="shared" si="8"/>
        <v>6.8811789990789078</v>
      </c>
      <c r="O37" s="17" t="str">
        <f t="shared" si="9"/>
        <v>High</v>
      </c>
      <c r="P37" t="str">
        <f>IF(ISNUMBER('Updated Data'!E37),"OK","NOT NUMERIC")</f>
        <v>OK</v>
      </c>
    </row>
    <row r="38" spans="1:16" ht="60" x14ac:dyDescent="0.25">
      <c r="A38" s="11">
        <v>2021</v>
      </c>
      <c r="B38" s="11" t="s">
        <v>24</v>
      </c>
      <c r="C38" s="11" t="s">
        <v>25</v>
      </c>
      <c r="D38" s="11" t="s">
        <v>17</v>
      </c>
      <c r="E38" s="11">
        <v>0.02</v>
      </c>
      <c r="F38" s="18">
        <v>16.88</v>
      </c>
      <c r="G38" s="11">
        <v>0.11</v>
      </c>
      <c r="H38" s="11">
        <v>0.32</v>
      </c>
      <c r="I38" s="11">
        <v>0</v>
      </c>
      <c r="J38" s="11">
        <f t="shared" si="4"/>
        <v>22.259748234571685</v>
      </c>
      <c r="K38" s="17">
        <f t="shared" si="6"/>
        <v>6.433333333333334E-2</v>
      </c>
      <c r="L38" s="17">
        <f t="shared" si="7"/>
        <v>-4.4333333333333336E-2</v>
      </c>
      <c r="M38" s="17">
        <f t="shared" si="5"/>
        <v>4.9416551724137947E-3</v>
      </c>
      <c r="N38" s="17">
        <f t="shared" si="8"/>
        <v>7.1231194350629394</v>
      </c>
      <c r="O38" s="17" t="str">
        <f t="shared" si="9"/>
        <v>Low</v>
      </c>
      <c r="P38" t="str">
        <f>IF(ISNUMBER('Updated Data'!E38),"OK","NOT NUMERIC")</f>
        <v>OK</v>
      </c>
    </row>
    <row r="39" spans="1:16" ht="75" x14ac:dyDescent="0.25">
      <c r="A39" s="11">
        <v>2021</v>
      </c>
      <c r="B39" s="11" t="s">
        <v>26</v>
      </c>
      <c r="C39" s="11" t="s">
        <v>27</v>
      </c>
      <c r="D39" s="11" t="s">
        <v>28</v>
      </c>
      <c r="E39" s="11">
        <v>7.0000000000000007E-2</v>
      </c>
      <c r="F39" s="18">
        <v>31.07</v>
      </c>
      <c r="G39" s="11">
        <v>0.01</v>
      </c>
      <c r="H39" s="11">
        <v>0.37</v>
      </c>
      <c r="I39" s="11">
        <v>0.08</v>
      </c>
      <c r="J39" s="11">
        <f t="shared" si="4"/>
        <v>65.827448572305798</v>
      </c>
      <c r="K39" s="17">
        <f t="shared" si="6"/>
        <v>0.12000000000000004</v>
      </c>
      <c r="L39" s="17">
        <f t="shared" si="7"/>
        <v>-5.0000000000000031E-2</v>
      </c>
      <c r="M39" s="17">
        <f t="shared" si="5"/>
        <v>1.5191231343283584E-4</v>
      </c>
      <c r="N39" s="17">
        <f t="shared" si="8"/>
        <v>24.356155971753147</v>
      </c>
      <c r="O39" s="17" t="str">
        <f t="shared" si="9"/>
        <v>High</v>
      </c>
      <c r="P39" t="str">
        <f>IF(ISNUMBER('Updated Data'!E39),"OK","NOT NUMERIC")</f>
        <v>OK</v>
      </c>
    </row>
    <row r="40" spans="1:16" ht="60" x14ac:dyDescent="0.25">
      <c r="A40" s="11">
        <v>2021</v>
      </c>
      <c r="B40" s="11" t="s">
        <v>29</v>
      </c>
      <c r="C40" s="11" t="s">
        <v>30</v>
      </c>
      <c r="D40" s="11" t="s">
        <v>28</v>
      </c>
      <c r="E40" s="11">
        <v>7.0000000000000007E-2</v>
      </c>
      <c r="F40" s="18">
        <v>34.869999999999997</v>
      </c>
      <c r="G40" s="11">
        <v>0.52</v>
      </c>
      <c r="H40" s="11">
        <v>0.33</v>
      </c>
      <c r="I40" s="11">
        <v>0.03</v>
      </c>
      <c r="J40" s="11">
        <f t="shared" si="4"/>
        <v>77.49462695732268</v>
      </c>
      <c r="K40" s="17">
        <f t="shared" si="6"/>
        <v>0.12000000000000004</v>
      </c>
      <c r="L40" s="17">
        <f t="shared" si="7"/>
        <v>-5.0000000000000031E-2</v>
      </c>
      <c r="M40" s="17">
        <f t="shared" si="5"/>
        <v>6.7101426307448501E-3</v>
      </c>
      <c r="N40" s="17">
        <f t="shared" si="8"/>
        <v>25.573226895916484</v>
      </c>
      <c r="O40" s="17" t="str">
        <f t="shared" si="9"/>
        <v>Top</v>
      </c>
      <c r="P40" t="str">
        <f>IF(ISNUMBER('Updated Data'!E40),"OK","NOT NUMERIC")</f>
        <v>OK</v>
      </c>
    </row>
    <row r="41" spans="1:16" ht="30" x14ac:dyDescent="0.25">
      <c r="A41" s="11">
        <v>2021</v>
      </c>
      <c r="B41" s="11" t="s">
        <v>31</v>
      </c>
      <c r="C41" s="11" t="s">
        <v>32</v>
      </c>
      <c r="D41" s="11" t="s">
        <v>33</v>
      </c>
      <c r="E41" s="11">
        <v>0.01</v>
      </c>
      <c r="F41" s="18">
        <v>9.6300000000000008</v>
      </c>
      <c r="G41" s="11">
        <v>0.75</v>
      </c>
      <c r="H41" s="11">
        <v>0.46</v>
      </c>
      <c r="I41" s="11">
        <v>0.02</v>
      </c>
      <c r="J41" s="11">
        <f t="shared" si="4"/>
        <v>0</v>
      </c>
      <c r="K41" s="17">
        <f t="shared" si="6"/>
        <v>0.13249999999999998</v>
      </c>
      <c r="L41" s="17">
        <f t="shared" si="7"/>
        <v>-0.12249999999999998</v>
      </c>
      <c r="M41" s="17">
        <f>G41/1</f>
        <v>0.75</v>
      </c>
      <c r="N41" s="17">
        <f t="shared" si="8"/>
        <v>0</v>
      </c>
      <c r="O41" s="17" t="str">
        <f t="shared" si="9"/>
        <v>Low</v>
      </c>
      <c r="P41" t="str">
        <f>IF(ISNUMBER('Updated Data'!E41),"OK","NOT NUMERIC")</f>
        <v>OK</v>
      </c>
    </row>
    <row r="42" spans="1:16" ht="30" x14ac:dyDescent="0.25">
      <c r="A42" s="11">
        <v>2021</v>
      </c>
      <c r="B42" s="11" t="s">
        <v>34</v>
      </c>
      <c r="C42" s="11" t="s">
        <v>35</v>
      </c>
      <c r="D42" s="11" t="s">
        <v>36</v>
      </c>
      <c r="E42" s="11">
        <v>0.13</v>
      </c>
      <c r="F42" s="18">
        <v>30.74</v>
      </c>
      <c r="G42" s="11">
        <v>0.17</v>
      </c>
      <c r="H42" s="11">
        <v>0.42</v>
      </c>
      <c r="I42" s="11">
        <v>0.01</v>
      </c>
      <c r="J42" s="11">
        <f t="shared" si="4"/>
        <v>64.814246238870126</v>
      </c>
      <c r="K42" s="17">
        <f t="shared" si="6"/>
        <v>0.18583333333333332</v>
      </c>
      <c r="L42" s="17">
        <f t="shared" si="7"/>
        <v>-5.5833333333333318E-2</v>
      </c>
      <c r="M42" s="17">
        <f t="shared" si="5"/>
        <v>2.6228801515869259E-3</v>
      </c>
      <c r="N42" s="17">
        <f t="shared" si="8"/>
        <v>27.221983420325451</v>
      </c>
      <c r="O42" s="17" t="str">
        <f t="shared" si="9"/>
        <v>High</v>
      </c>
      <c r="P42" t="str">
        <f>IF(ISNUMBER('Updated Data'!E42),"OK","NOT NUMERIC")</f>
        <v>OK</v>
      </c>
    </row>
    <row r="43" spans="1:16" ht="90" x14ac:dyDescent="0.25">
      <c r="A43" s="11">
        <v>2021</v>
      </c>
      <c r="B43" s="11" t="s">
        <v>37</v>
      </c>
      <c r="C43" s="11" t="s">
        <v>38</v>
      </c>
      <c r="D43" s="11" t="s">
        <v>36</v>
      </c>
      <c r="E43" s="11">
        <v>0.31</v>
      </c>
      <c r="F43" s="18">
        <v>21.5</v>
      </c>
      <c r="G43" s="11">
        <v>0</v>
      </c>
      <c r="H43" s="11">
        <v>0.56999999999999995</v>
      </c>
      <c r="I43" s="11">
        <v>0.02</v>
      </c>
      <c r="J43" s="11">
        <f t="shared" si="4"/>
        <v>36.44458090267117</v>
      </c>
      <c r="K43" s="17">
        <f t="shared" si="6"/>
        <v>0.18583333333333332</v>
      </c>
      <c r="L43" s="17">
        <f t="shared" si="7"/>
        <v>0.12416666666666668</v>
      </c>
      <c r="M43" s="17">
        <f t="shared" si="5"/>
        <v>0</v>
      </c>
      <c r="N43" s="17">
        <f t="shared" si="8"/>
        <v>20.773411114522567</v>
      </c>
      <c r="O43" s="17" t="str">
        <f t="shared" si="9"/>
        <v>Moderate</v>
      </c>
      <c r="P43" t="str">
        <f>IF(ISNUMBER('Updated Data'!E43),"OK","NOT NUMERIC")</f>
        <v>OK</v>
      </c>
    </row>
    <row r="44" spans="1:16" ht="60" x14ac:dyDescent="0.25">
      <c r="A44" s="11">
        <v>2021</v>
      </c>
      <c r="B44" s="11" t="s">
        <v>39</v>
      </c>
      <c r="C44" s="11" t="s">
        <v>40</v>
      </c>
      <c r="D44" s="11" t="s">
        <v>33</v>
      </c>
      <c r="E44" s="11">
        <v>0.13</v>
      </c>
      <c r="F44" s="18">
        <v>24.84</v>
      </c>
      <c r="G44" s="11">
        <v>0.48</v>
      </c>
      <c r="H44" s="11">
        <v>0.63</v>
      </c>
      <c r="I44" s="11">
        <v>0</v>
      </c>
      <c r="J44" s="11">
        <f t="shared" si="4"/>
        <v>46.699416641080745</v>
      </c>
      <c r="K44" s="17">
        <f t="shared" si="6"/>
        <v>0.13249999999999998</v>
      </c>
      <c r="L44" s="17">
        <f t="shared" si="7"/>
        <v>-2.4999999999999745E-3</v>
      </c>
      <c r="M44" s="17">
        <f t="shared" si="5"/>
        <v>1.0278500986193295E-2</v>
      </c>
      <c r="N44" s="17">
        <f t="shared" si="8"/>
        <v>29.420632483880869</v>
      </c>
      <c r="O44" s="17" t="str">
        <f t="shared" si="9"/>
        <v>High</v>
      </c>
      <c r="P44" t="str">
        <f>IF(ISNUMBER('Updated Data'!E44),"OK","NOT NUMERIC")</f>
        <v>OK</v>
      </c>
    </row>
    <row r="45" spans="1:16" ht="45" x14ac:dyDescent="0.25">
      <c r="A45" s="11">
        <v>2021</v>
      </c>
      <c r="B45" s="11" t="s">
        <v>41</v>
      </c>
      <c r="C45" s="11" t="s">
        <v>42</v>
      </c>
      <c r="D45" s="11" t="s">
        <v>43</v>
      </c>
      <c r="E45" s="11">
        <v>0.11</v>
      </c>
      <c r="F45" s="18">
        <v>41.25</v>
      </c>
      <c r="G45" s="11">
        <v>0</v>
      </c>
      <c r="H45" s="11">
        <v>0.25</v>
      </c>
      <c r="I45" s="11">
        <v>0.02</v>
      </c>
      <c r="J45" s="11">
        <f t="shared" si="4"/>
        <v>97.083205403745765</v>
      </c>
      <c r="K45" s="17">
        <f t="shared" si="6"/>
        <v>0.10166666666666668</v>
      </c>
      <c r="L45" s="17">
        <f t="shared" si="7"/>
        <v>8.3333333333333176E-3</v>
      </c>
      <c r="M45" s="17">
        <f t="shared" si="5"/>
        <v>0</v>
      </c>
      <c r="N45" s="17">
        <f t="shared" si="8"/>
        <v>24.270801350936441</v>
      </c>
      <c r="O45" s="17" t="str">
        <f t="shared" si="9"/>
        <v>Top</v>
      </c>
      <c r="P45" t="str">
        <f>IF(ISNUMBER('Updated Data'!E45),"OK","NOT NUMERIC")</f>
        <v>OK</v>
      </c>
    </row>
    <row r="46" spans="1:16" ht="45" x14ac:dyDescent="0.25">
      <c r="A46" s="11">
        <v>2021</v>
      </c>
      <c r="B46" s="11" t="s">
        <v>44</v>
      </c>
      <c r="C46" s="11" t="s">
        <v>45</v>
      </c>
      <c r="D46" s="11" t="s">
        <v>28</v>
      </c>
      <c r="E46" s="11">
        <v>0.3</v>
      </c>
      <c r="F46" s="18">
        <v>17.68</v>
      </c>
      <c r="G46" s="11">
        <v>0.77</v>
      </c>
      <c r="H46" s="11">
        <v>0.5</v>
      </c>
      <c r="I46" s="11">
        <v>0.03</v>
      </c>
      <c r="J46" s="11">
        <f t="shared" si="4"/>
        <v>24.715996315627876</v>
      </c>
      <c r="K46" s="17">
        <f t="shared" si="6"/>
        <v>0.12000000000000004</v>
      </c>
      <c r="L46" s="17">
        <f t="shared" si="7"/>
        <v>0.17999999999999994</v>
      </c>
      <c r="M46" s="17">
        <f t="shared" si="5"/>
        <v>3.1153913043478264E-2</v>
      </c>
      <c r="N46" s="17">
        <f t="shared" si="8"/>
        <v>12.357998157813938</v>
      </c>
      <c r="O46" s="17" t="str">
        <f t="shared" si="9"/>
        <v>Low</v>
      </c>
      <c r="P46" t="str">
        <f>IF(ISNUMBER('Updated Data'!E46),"OK","NOT NUMERIC")</f>
        <v>OK</v>
      </c>
    </row>
    <row r="47" spans="1:16" ht="45" x14ac:dyDescent="0.25">
      <c r="A47" s="11">
        <v>2020</v>
      </c>
      <c r="B47" s="11" t="s">
        <v>9</v>
      </c>
      <c r="C47" s="11" t="s">
        <v>10</v>
      </c>
      <c r="D47" s="11" t="s">
        <v>11</v>
      </c>
      <c r="E47" s="11">
        <v>0.18</v>
      </c>
      <c r="F47" s="18">
        <v>13.48</v>
      </c>
      <c r="G47" s="11">
        <v>0.73</v>
      </c>
      <c r="H47" s="11">
        <v>0.41</v>
      </c>
      <c r="I47" s="11">
        <v>0</v>
      </c>
      <c r="J47" s="11">
        <f t="shared" si="4"/>
        <v>11.820693890082898</v>
      </c>
      <c r="K47" s="17">
        <f t="shared" si="6"/>
        <v>0.15</v>
      </c>
      <c r="L47" s="17">
        <f t="shared" si="7"/>
        <v>0.03</v>
      </c>
      <c r="M47" s="17">
        <f t="shared" si="5"/>
        <v>6.1756103896103892E-2</v>
      </c>
      <c r="N47" s="17">
        <f t="shared" si="8"/>
        <v>4.8464844949339883</v>
      </c>
      <c r="O47" s="17" t="str">
        <f t="shared" si="9"/>
        <v>Low</v>
      </c>
      <c r="P47" t="str">
        <f>IF(ISNUMBER('Updated Data'!E47),"OK","NOT NUMERIC")</f>
        <v>OK</v>
      </c>
    </row>
    <row r="48" spans="1:16" ht="45" x14ac:dyDescent="0.25">
      <c r="A48" s="11">
        <v>2020</v>
      </c>
      <c r="B48" s="11" t="s">
        <v>12</v>
      </c>
      <c r="C48" s="11" t="s">
        <v>13</v>
      </c>
      <c r="D48" s="11" t="s">
        <v>14</v>
      </c>
      <c r="E48" s="11">
        <v>0.28000000000000003</v>
      </c>
      <c r="F48" s="18">
        <v>35.89</v>
      </c>
      <c r="G48" s="11">
        <v>0.2</v>
      </c>
      <c r="H48" s="11">
        <v>0.35</v>
      </c>
      <c r="I48" s="11">
        <v>0.02</v>
      </c>
      <c r="J48" s="11">
        <f t="shared" si="4"/>
        <v>80.626343260669316</v>
      </c>
      <c r="K48" s="17">
        <f t="shared" si="6"/>
        <v>0.12666666666666668</v>
      </c>
      <c r="L48" s="17">
        <f t="shared" si="7"/>
        <v>0.15333333333333335</v>
      </c>
      <c r="M48" s="17">
        <f t="shared" si="5"/>
        <v>2.4805788271134812E-3</v>
      </c>
      <c r="N48" s="17">
        <f t="shared" si="8"/>
        <v>28.21922014123426</v>
      </c>
      <c r="O48" s="17" t="str">
        <f t="shared" si="9"/>
        <v>Top</v>
      </c>
      <c r="P48" t="str">
        <f>IF(ISNUMBER('Updated Data'!E48),"OK","NOT NUMERIC")</f>
        <v>OK</v>
      </c>
    </row>
    <row r="49" spans="1:16" ht="45" x14ac:dyDescent="0.25">
      <c r="A49" s="11">
        <v>2020</v>
      </c>
      <c r="B49" s="11" t="s">
        <v>15</v>
      </c>
      <c r="C49" s="11" t="s">
        <v>16</v>
      </c>
      <c r="D49" s="11" t="s">
        <v>17</v>
      </c>
      <c r="E49" s="11">
        <v>7.0000000000000007E-2</v>
      </c>
      <c r="F49" s="18">
        <v>19.93</v>
      </c>
      <c r="G49" s="11">
        <v>0.6</v>
      </c>
      <c r="H49" s="11">
        <v>0.17</v>
      </c>
      <c r="I49" s="11">
        <v>0</v>
      </c>
      <c r="J49" s="11">
        <f t="shared" si="4"/>
        <v>31.624194043598404</v>
      </c>
      <c r="K49" s="17">
        <f t="shared" si="6"/>
        <v>6.433333333333334E-2</v>
      </c>
      <c r="L49" s="17">
        <f t="shared" si="7"/>
        <v>5.6666666666666671E-3</v>
      </c>
      <c r="M49" s="17">
        <f t="shared" si="5"/>
        <v>1.8972815533980582E-2</v>
      </c>
      <c r="N49" s="17">
        <f t="shared" si="8"/>
        <v>5.3761129874117293</v>
      </c>
      <c r="O49" s="17" t="str">
        <f t="shared" si="9"/>
        <v>Moderate</v>
      </c>
      <c r="P49" t="str">
        <f>IF(ISNUMBER('Updated Data'!E49),"OK","NOT NUMERIC")</f>
        <v>OK</v>
      </c>
    </row>
    <row r="50" spans="1:16" ht="75" x14ac:dyDescent="0.25">
      <c r="A50" s="11">
        <v>2020</v>
      </c>
      <c r="B50" s="11" t="s">
        <v>18</v>
      </c>
      <c r="C50" s="11" t="s">
        <v>19</v>
      </c>
      <c r="D50" s="11" t="s">
        <v>17</v>
      </c>
      <c r="E50" s="11">
        <v>0.02</v>
      </c>
      <c r="F50" s="18">
        <v>11.91</v>
      </c>
      <c r="G50" s="11">
        <v>0.18</v>
      </c>
      <c r="H50" s="11">
        <v>0.3</v>
      </c>
      <c r="I50" s="11">
        <v>0.01</v>
      </c>
      <c r="J50" s="11">
        <f t="shared" si="4"/>
        <v>7.0003070310101307</v>
      </c>
      <c r="K50" s="17">
        <f t="shared" si="6"/>
        <v>6.433333333333334E-2</v>
      </c>
      <c r="L50" s="17">
        <f t="shared" si="7"/>
        <v>-4.4333333333333336E-2</v>
      </c>
      <c r="M50" s="17">
        <f t="shared" si="5"/>
        <v>2.5713157894736847E-2</v>
      </c>
      <c r="N50" s="17">
        <f t="shared" si="8"/>
        <v>2.1000921093030391</v>
      </c>
      <c r="O50" s="17" t="str">
        <f t="shared" si="9"/>
        <v>Low</v>
      </c>
      <c r="P50" t="str">
        <f>IF(ISNUMBER('Updated Data'!E50),"OK","NOT NUMERIC")</f>
        <v>OK</v>
      </c>
    </row>
    <row r="51" spans="1:16" ht="75" x14ac:dyDescent="0.25">
      <c r="A51" s="11">
        <v>2020</v>
      </c>
      <c r="B51" s="11" t="s">
        <v>20</v>
      </c>
      <c r="C51" s="11" t="s">
        <v>21</v>
      </c>
      <c r="D51" s="11" t="s">
        <v>17</v>
      </c>
      <c r="E51" s="11">
        <v>0.1</v>
      </c>
      <c r="F51" s="18">
        <v>19.329999999999998</v>
      </c>
      <c r="G51" s="11">
        <v>0.38</v>
      </c>
      <c r="H51" s="11">
        <v>0.45</v>
      </c>
      <c r="I51" s="11">
        <v>0.06</v>
      </c>
      <c r="J51" s="11">
        <f t="shared" si="4"/>
        <v>29.782007982806256</v>
      </c>
      <c r="K51" s="17">
        <f t="shared" si="6"/>
        <v>6.433333333333334E-2</v>
      </c>
      <c r="L51" s="17">
        <f t="shared" si="7"/>
        <v>3.5666666666666666E-2</v>
      </c>
      <c r="M51" s="17">
        <f t="shared" si="5"/>
        <v>1.2759381443298972E-2</v>
      </c>
      <c r="N51" s="17">
        <f t="shared" si="8"/>
        <v>13.401903592262816</v>
      </c>
      <c r="O51" s="17" t="str">
        <f t="shared" si="9"/>
        <v>Moderate</v>
      </c>
      <c r="P51" t="str">
        <f>IF(ISNUMBER('Updated Data'!E51),"OK","NOT NUMERIC")</f>
        <v>OK</v>
      </c>
    </row>
    <row r="52" spans="1:16" ht="75" x14ac:dyDescent="0.25">
      <c r="A52" s="11">
        <v>2020</v>
      </c>
      <c r="B52" s="11" t="s">
        <v>22</v>
      </c>
      <c r="C52" s="11" t="s">
        <v>23</v>
      </c>
      <c r="D52" s="11" t="s">
        <v>17</v>
      </c>
      <c r="E52" s="11">
        <v>0.12</v>
      </c>
      <c r="F52" s="18">
        <v>19.760000000000002</v>
      </c>
      <c r="G52" s="11">
        <v>0.65</v>
      </c>
      <c r="H52" s="11">
        <v>0.35</v>
      </c>
      <c r="I52" s="11">
        <v>0.01</v>
      </c>
      <c r="J52" s="11">
        <f t="shared" si="4"/>
        <v>31.102241326373964</v>
      </c>
      <c r="K52" s="17">
        <f t="shared" si="6"/>
        <v>6.433333333333334E-2</v>
      </c>
      <c r="L52" s="17">
        <f t="shared" si="7"/>
        <v>5.5666666666666656E-2</v>
      </c>
      <c r="M52" s="17">
        <f t="shared" si="5"/>
        <v>2.0898815399802567E-2</v>
      </c>
      <c r="N52" s="17">
        <f t="shared" si="8"/>
        <v>10.885784464230886</v>
      </c>
      <c r="O52" s="17" t="str">
        <f t="shared" si="9"/>
        <v>Moderate</v>
      </c>
      <c r="P52" t="str">
        <f>IF(ISNUMBER('Updated Data'!E52),"OK","NOT NUMERIC")</f>
        <v>OK</v>
      </c>
    </row>
    <row r="53" spans="1:16" ht="60" x14ac:dyDescent="0.25">
      <c r="A53" s="11">
        <v>2020</v>
      </c>
      <c r="B53" s="11" t="s">
        <v>24</v>
      </c>
      <c r="C53" s="11" t="s">
        <v>25</v>
      </c>
      <c r="D53" s="11" t="s">
        <v>17</v>
      </c>
      <c r="E53" s="11">
        <v>0.09</v>
      </c>
      <c r="F53" s="18">
        <v>31.89</v>
      </c>
      <c r="G53" s="11">
        <v>0.65</v>
      </c>
      <c r="H53" s="11">
        <v>0.3</v>
      </c>
      <c r="I53" s="11">
        <v>7.0000000000000007E-2</v>
      </c>
      <c r="J53" s="11">
        <f t="shared" si="4"/>
        <v>68.34510285538839</v>
      </c>
      <c r="K53" s="17">
        <f t="shared" si="6"/>
        <v>6.433333333333334E-2</v>
      </c>
      <c r="L53" s="17">
        <f t="shared" si="7"/>
        <v>2.5666666666666657E-2</v>
      </c>
      <c r="M53" s="17">
        <f t="shared" si="5"/>
        <v>9.510557053009884E-3</v>
      </c>
      <c r="N53" s="17">
        <f t="shared" si="8"/>
        <v>20.503530856616518</v>
      </c>
      <c r="O53" s="17" t="str">
        <f t="shared" si="9"/>
        <v>Top</v>
      </c>
      <c r="P53" t="str">
        <f>IF(ISNUMBER('Updated Data'!E53),"OK","NOT NUMERIC")</f>
        <v>OK</v>
      </c>
    </row>
    <row r="54" spans="1:16" ht="75" x14ac:dyDescent="0.25">
      <c r="A54" s="11">
        <v>2020</v>
      </c>
      <c r="B54" s="11" t="s">
        <v>26</v>
      </c>
      <c r="C54" s="11" t="s">
        <v>27</v>
      </c>
      <c r="D54" s="11" t="s">
        <v>28</v>
      </c>
      <c r="E54" s="11">
        <v>0.09</v>
      </c>
      <c r="F54" s="18">
        <v>24.17</v>
      </c>
      <c r="G54" s="11">
        <v>0.32</v>
      </c>
      <c r="H54" s="11">
        <v>0.67</v>
      </c>
      <c r="I54" s="11">
        <v>0.1</v>
      </c>
      <c r="J54" s="11">
        <f t="shared" si="4"/>
        <v>44.642308873196193</v>
      </c>
      <c r="K54" s="17">
        <f t="shared" si="6"/>
        <v>0.12000000000000004</v>
      </c>
      <c r="L54" s="17">
        <f t="shared" si="7"/>
        <v>-3.0000000000000041E-2</v>
      </c>
      <c r="M54" s="17">
        <f t="shared" si="5"/>
        <v>7.1680880330123797E-3</v>
      </c>
      <c r="N54" s="17">
        <f t="shared" si="8"/>
        <v>29.91034694504145</v>
      </c>
      <c r="O54" s="17" t="str">
        <f t="shared" si="9"/>
        <v>Moderate</v>
      </c>
      <c r="P54" t="str">
        <f>IF(ISNUMBER('Updated Data'!E54),"OK","NOT NUMERIC")</f>
        <v>OK</v>
      </c>
    </row>
    <row r="55" spans="1:16" ht="60" x14ac:dyDescent="0.25">
      <c r="A55" s="11">
        <v>2020</v>
      </c>
      <c r="B55" s="11" t="s">
        <v>29</v>
      </c>
      <c r="C55" s="11" t="s">
        <v>30</v>
      </c>
      <c r="D55" s="11" t="s">
        <v>28</v>
      </c>
      <c r="E55" s="11">
        <v>0.05</v>
      </c>
      <c r="F55" s="18">
        <v>31.4</v>
      </c>
      <c r="G55" s="11">
        <v>0.59</v>
      </c>
      <c r="H55" s="11">
        <v>0.3</v>
      </c>
      <c r="I55" s="11">
        <v>0.02</v>
      </c>
      <c r="J55" s="11">
        <f t="shared" si="4"/>
        <v>66.84065090574147</v>
      </c>
      <c r="K55" s="17">
        <f t="shared" si="6"/>
        <v>0.12000000000000004</v>
      </c>
      <c r="L55" s="17">
        <f t="shared" si="7"/>
        <v>-7.0000000000000034E-2</v>
      </c>
      <c r="M55" s="17">
        <f t="shared" si="5"/>
        <v>8.8269637115296288E-3</v>
      </c>
      <c r="N55" s="17">
        <f t="shared" si="8"/>
        <v>20.052195271722439</v>
      </c>
      <c r="O55" s="17" t="str">
        <f t="shared" si="9"/>
        <v>Top</v>
      </c>
      <c r="P55" t="str">
        <f>IF(ISNUMBER('Updated Data'!E55),"OK","NOT NUMERIC")</f>
        <v>OK</v>
      </c>
    </row>
    <row r="56" spans="1:16" ht="30" x14ac:dyDescent="0.25">
      <c r="A56" s="11">
        <v>2020</v>
      </c>
      <c r="B56" s="11" t="s">
        <v>31</v>
      </c>
      <c r="C56" s="11" t="s">
        <v>32</v>
      </c>
      <c r="D56" s="11" t="s">
        <v>33</v>
      </c>
      <c r="E56" s="11">
        <v>0.3</v>
      </c>
      <c r="F56" s="18">
        <v>33.130000000000003</v>
      </c>
      <c r="G56" s="11">
        <v>0.64</v>
      </c>
      <c r="H56" s="11">
        <v>0.45</v>
      </c>
      <c r="I56" s="11">
        <v>0.02</v>
      </c>
      <c r="J56" s="11">
        <f t="shared" si="4"/>
        <v>72.152287381025488</v>
      </c>
      <c r="K56" s="17">
        <f t="shared" si="6"/>
        <v>0.13249999999999998</v>
      </c>
      <c r="L56" s="17">
        <f t="shared" si="7"/>
        <v>0.16750000000000001</v>
      </c>
      <c r="M56" s="17">
        <f t="shared" si="5"/>
        <v>8.8701276595744682E-3</v>
      </c>
      <c r="N56" s="17">
        <f t="shared" si="8"/>
        <v>32.468529321461467</v>
      </c>
      <c r="O56" s="17" t="str">
        <f t="shared" si="9"/>
        <v>Top</v>
      </c>
      <c r="P56" t="str">
        <f>IF(ISNUMBER('Updated Data'!E56),"OK","NOT NUMERIC")</f>
        <v>OK</v>
      </c>
    </row>
    <row r="57" spans="1:16" ht="30" x14ac:dyDescent="0.25">
      <c r="A57" s="11">
        <v>2020</v>
      </c>
      <c r="B57" s="11" t="s">
        <v>34</v>
      </c>
      <c r="C57" s="11" t="s">
        <v>35</v>
      </c>
      <c r="D57" s="11" t="s">
        <v>36</v>
      </c>
      <c r="E57" s="11">
        <v>0.23</v>
      </c>
      <c r="F57" s="18">
        <v>24.81</v>
      </c>
      <c r="G57" s="11">
        <v>0.49</v>
      </c>
      <c r="H57" s="11">
        <v>0.59</v>
      </c>
      <c r="I57" s="11">
        <v>7.0000000000000007E-2</v>
      </c>
      <c r="J57" s="11">
        <f t="shared" si="4"/>
        <v>46.607307338041139</v>
      </c>
      <c r="K57" s="17">
        <f t="shared" si="6"/>
        <v>0.18583333333333332</v>
      </c>
      <c r="L57" s="17">
        <f t="shared" si="7"/>
        <v>4.4166666666666687E-2</v>
      </c>
      <c r="M57" s="17">
        <f t="shared" si="5"/>
        <v>1.0513372859025033E-2</v>
      </c>
      <c r="N57" s="17">
        <f t="shared" si="8"/>
        <v>27.49831132944427</v>
      </c>
      <c r="O57" s="17" t="str">
        <f t="shared" si="9"/>
        <v>High</v>
      </c>
      <c r="P57" t="str">
        <f>IF(ISNUMBER('Updated Data'!E57),"OK","NOT NUMERIC")</f>
        <v>OK</v>
      </c>
    </row>
    <row r="58" spans="1:16" ht="90" x14ac:dyDescent="0.25">
      <c r="A58" s="11">
        <v>2020</v>
      </c>
      <c r="B58" s="11" t="s">
        <v>37</v>
      </c>
      <c r="C58" s="11" t="s">
        <v>38</v>
      </c>
      <c r="D58" s="11" t="s">
        <v>36</v>
      </c>
      <c r="E58" s="11">
        <v>0.01</v>
      </c>
      <c r="F58" s="18">
        <v>22.83</v>
      </c>
      <c r="G58" s="11">
        <v>0.61</v>
      </c>
      <c r="H58" s="11">
        <v>0.59</v>
      </c>
      <c r="I58" s="11">
        <v>0</v>
      </c>
      <c r="J58" s="11">
        <f t="shared" si="4"/>
        <v>40.528093337427073</v>
      </c>
      <c r="K58" s="17">
        <f t="shared" si="6"/>
        <v>0.18583333333333332</v>
      </c>
      <c r="L58" s="17">
        <f t="shared" si="7"/>
        <v>-0.17583333333333331</v>
      </c>
      <c r="M58" s="17">
        <f t="shared" si="5"/>
        <v>1.5051287878787881E-2</v>
      </c>
      <c r="N58" s="17">
        <f t="shared" si="8"/>
        <v>23.911575069081973</v>
      </c>
      <c r="O58" s="17" t="str">
        <f t="shared" si="9"/>
        <v>Moderate</v>
      </c>
      <c r="P58" t="str">
        <f>IF(ISNUMBER('Updated Data'!E58),"OK","NOT NUMERIC")</f>
        <v>OK</v>
      </c>
    </row>
    <row r="59" spans="1:16" ht="60" x14ac:dyDescent="0.25">
      <c r="A59" s="11">
        <v>2020</v>
      </c>
      <c r="B59" s="11" t="s">
        <v>39</v>
      </c>
      <c r="C59" s="11" t="s">
        <v>40</v>
      </c>
      <c r="D59" s="11" t="s">
        <v>33</v>
      </c>
      <c r="E59" s="11">
        <v>0.23</v>
      </c>
      <c r="F59" s="18">
        <v>29.09</v>
      </c>
      <c r="G59" s="11">
        <v>0.1</v>
      </c>
      <c r="H59" s="11">
        <v>0.56999999999999995</v>
      </c>
      <c r="I59" s="11">
        <v>0.02</v>
      </c>
      <c r="J59" s="11">
        <f t="shared" si="4"/>
        <v>59.748234571691739</v>
      </c>
      <c r="K59" s="17">
        <f t="shared" si="6"/>
        <v>0.13249999999999998</v>
      </c>
      <c r="L59" s="17">
        <f t="shared" si="7"/>
        <v>9.7500000000000031E-2</v>
      </c>
      <c r="M59" s="17">
        <f t="shared" si="5"/>
        <v>1.6736896197327854E-3</v>
      </c>
      <c r="N59" s="17">
        <f t="shared" si="8"/>
        <v>34.056493705864291</v>
      </c>
      <c r="O59" s="17" t="str">
        <f t="shared" si="9"/>
        <v>High</v>
      </c>
      <c r="P59" t="str">
        <f>IF(ISNUMBER('Updated Data'!E59),"OK","NOT NUMERIC")</f>
        <v>OK</v>
      </c>
    </row>
    <row r="60" spans="1:16" ht="45" x14ac:dyDescent="0.25">
      <c r="A60" s="11">
        <v>2020</v>
      </c>
      <c r="B60" s="11" t="s">
        <v>41</v>
      </c>
      <c r="C60" s="11" t="s">
        <v>42</v>
      </c>
      <c r="D60" s="11" t="s">
        <v>43</v>
      </c>
      <c r="E60" s="11">
        <v>0.03</v>
      </c>
      <c r="F60" s="18">
        <v>19.43</v>
      </c>
      <c r="G60" s="11">
        <v>0.31</v>
      </c>
      <c r="H60" s="11">
        <v>0.45</v>
      </c>
      <c r="I60" s="11">
        <v>0</v>
      </c>
      <c r="J60" s="11">
        <f t="shared" si="4"/>
        <v>30.089038992938281</v>
      </c>
      <c r="K60" s="17">
        <f t="shared" si="6"/>
        <v>0.10166666666666668</v>
      </c>
      <c r="L60" s="17">
        <f t="shared" si="7"/>
        <v>-7.1666666666666684E-2</v>
      </c>
      <c r="M60" s="17">
        <f t="shared" si="5"/>
        <v>1.0302755102040819E-2</v>
      </c>
      <c r="N60" s="17">
        <f t="shared" si="8"/>
        <v>13.540067546822227</v>
      </c>
      <c r="O60" s="17" t="str">
        <f t="shared" si="9"/>
        <v>Moderate</v>
      </c>
      <c r="P60" t="str">
        <f>IF(ISNUMBER('Updated Data'!E60),"OK","NOT NUMERIC")</f>
        <v>OK</v>
      </c>
    </row>
    <row r="61" spans="1:16" ht="45" x14ac:dyDescent="0.25">
      <c r="A61" s="11">
        <v>2020</v>
      </c>
      <c r="B61" s="11" t="s">
        <v>44</v>
      </c>
      <c r="C61" s="11" t="s">
        <v>45</v>
      </c>
      <c r="D61" s="11" t="s">
        <v>28</v>
      </c>
      <c r="E61" s="11">
        <v>0.11</v>
      </c>
      <c r="F61" s="18">
        <v>25.26</v>
      </c>
      <c r="G61" s="11">
        <v>0.31</v>
      </c>
      <c r="H61" s="11">
        <v>0.37</v>
      </c>
      <c r="I61" s="11">
        <v>0.03</v>
      </c>
      <c r="J61" s="11">
        <f t="shared" si="4"/>
        <v>47.988946883635251</v>
      </c>
      <c r="K61" s="17">
        <f t="shared" si="6"/>
        <v>0.12000000000000004</v>
      </c>
      <c r="L61" s="17">
        <f t="shared" si="7"/>
        <v>-1.0000000000000037E-2</v>
      </c>
      <c r="M61" s="17">
        <f t="shared" si="5"/>
        <v>6.4598208573256556E-3</v>
      </c>
      <c r="N61" s="17">
        <f t="shared" si="8"/>
        <v>17.755910346945043</v>
      </c>
      <c r="O61" s="17" t="str">
        <f t="shared" si="9"/>
        <v>High</v>
      </c>
      <c r="P61" t="str">
        <f>IF(ISNUMBER('Updated Data'!E61),"OK","NOT NUMERIC")</f>
        <v>OK</v>
      </c>
    </row>
    <row r="62" spans="1:16" ht="45" x14ac:dyDescent="0.25">
      <c r="A62" s="11">
        <v>2019</v>
      </c>
      <c r="B62" s="11" t="s">
        <v>9</v>
      </c>
      <c r="C62" s="11" t="s">
        <v>10</v>
      </c>
      <c r="D62" s="11" t="s">
        <v>11</v>
      </c>
      <c r="E62" s="11">
        <v>0.3</v>
      </c>
      <c r="F62" s="18">
        <v>14.13</v>
      </c>
      <c r="G62" s="11">
        <v>0.49</v>
      </c>
      <c r="H62" s="11">
        <v>0.48</v>
      </c>
      <c r="I62" s="11">
        <v>0.03</v>
      </c>
      <c r="J62" s="11">
        <f t="shared" si="4"/>
        <v>13.81639545594105</v>
      </c>
      <c r="K62" s="17">
        <f t="shared" si="6"/>
        <v>0.15</v>
      </c>
      <c r="L62" s="17">
        <f t="shared" si="7"/>
        <v>0.15</v>
      </c>
      <c r="M62" s="17">
        <f t="shared" si="5"/>
        <v>3.5465111111111107E-2</v>
      </c>
      <c r="N62" s="17">
        <f t="shared" si="8"/>
        <v>6.6318698188517038</v>
      </c>
      <c r="O62" s="17" t="str">
        <f t="shared" si="9"/>
        <v>Low</v>
      </c>
      <c r="P62" t="str">
        <f>IF(ISNUMBER('Updated Data'!E62),"OK","NOT NUMERIC")</f>
        <v>OK</v>
      </c>
    </row>
    <row r="63" spans="1:16" ht="45" x14ac:dyDescent="0.25">
      <c r="A63" s="11">
        <v>2019</v>
      </c>
      <c r="B63" s="11" t="s">
        <v>12</v>
      </c>
      <c r="C63" s="11" t="s">
        <v>13</v>
      </c>
      <c r="D63" s="11" t="s">
        <v>14</v>
      </c>
      <c r="E63" s="11">
        <v>0.08</v>
      </c>
      <c r="F63" s="18">
        <v>20.23</v>
      </c>
      <c r="G63" s="11">
        <v>0.01</v>
      </c>
      <c r="H63" s="11">
        <v>0.57999999999999996</v>
      </c>
      <c r="I63" s="11">
        <v>0.01</v>
      </c>
      <c r="J63" s="11">
        <f t="shared" si="4"/>
        <v>32.545287073994473</v>
      </c>
      <c r="K63" s="17">
        <f t="shared" si="6"/>
        <v>0.12666666666666668</v>
      </c>
      <c r="L63" s="17">
        <f t="shared" si="7"/>
        <v>-4.6666666666666676E-2</v>
      </c>
      <c r="M63" s="17">
        <f t="shared" si="5"/>
        <v>3.0726415094339625E-4</v>
      </c>
      <c r="N63" s="17">
        <f t="shared" si="8"/>
        <v>18.876266502916792</v>
      </c>
      <c r="O63" s="17" t="str">
        <f t="shared" si="9"/>
        <v>Moderate</v>
      </c>
      <c r="P63" t="str">
        <f>IF(ISNUMBER('Updated Data'!E63),"OK","NOT NUMERIC")</f>
        <v>OK</v>
      </c>
    </row>
    <row r="64" spans="1:16" ht="45" x14ac:dyDescent="0.25">
      <c r="A64" s="11">
        <v>2019</v>
      </c>
      <c r="B64" s="11" t="s">
        <v>15</v>
      </c>
      <c r="C64" s="11" t="s">
        <v>16</v>
      </c>
      <c r="D64" s="11" t="s">
        <v>17</v>
      </c>
      <c r="E64" s="11">
        <v>0.23</v>
      </c>
      <c r="F64" s="18">
        <v>37.74</v>
      </c>
      <c r="G64" s="11">
        <v>0.53</v>
      </c>
      <c r="H64" s="11">
        <v>0.45</v>
      </c>
      <c r="I64" s="11">
        <v>0.02</v>
      </c>
      <c r="J64" s="11">
        <f t="shared" si="4"/>
        <v>86.306416948111746</v>
      </c>
      <c r="K64" s="17">
        <f t="shared" si="6"/>
        <v>6.433333333333334E-2</v>
      </c>
      <c r="L64" s="17">
        <f t="shared" si="7"/>
        <v>0.16566666666666668</v>
      </c>
      <c r="M64" s="17">
        <f t="shared" si="5"/>
        <v>6.1409107079331213E-3</v>
      </c>
      <c r="N64" s="17">
        <f t="shared" si="8"/>
        <v>38.837887626650286</v>
      </c>
      <c r="O64" s="17" t="str">
        <f t="shared" si="9"/>
        <v>Top</v>
      </c>
      <c r="P64" t="str">
        <f>IF(ISNUMBER('Updated Data'!E64),"OK","NOT NUMERIC")</f>
        <v>OK</v>
      </c>
    </row>
    <row r="65" spans="1:16" ht="75" x14ac:dyDescent="0.25">
      <c r="A65" s="11">
        <v>2019</v>
      </c>
      <c r="B65" s="11" t="s">
        <v>18</v>
      </c>
      <c r="C65" s="11" t="s">
        <v>19</v>
      </c>
      <c r="D65" s="11" t="s">
        <v>17</v>
      </c>
      <c r="E65" s="11">
        <v>0.08</v>
      </c>
      <c r="F65" s="18">
        <v>36.32</v>
      </c>
      <c r="G65" s="11">
        <v>0</v>
      </c>
      <c r="H65" s="11">
        <v>0.4</v>
      </c>
      <c r="I65" s="11">
        <v>0</v>
      </c>
      <c r="J65" s="11">
        <f t="shared" si="4"/>
        <v>81.946576604237023</v>
      </c>
      <c r="K65" s="17">
        <f t="shared" si="6"/>
        <v>6.433333333333334E-2</v>
      </c>
      <c r="L65" s="17">
        <f t="shared" si="7"/>
        <v>1.5666666666666662E-2</v>
      </c>
      <c r="M65" s="17">
        <f t="shared" si="5"/>
        <v>0</v>
      </c>
      <c r="N65" s="17">
        <f t="shared" si="8"/>
        <v>32.778630641694811</v>
      </c>
      <c r="O65" s="17" t="str">
        <f t="shared" si="9"/>
        <v>Top</v>
      </c>
      <c r="P65" t="str">
        <f>IF(ISNUMBER('Updated Data'!E65),"OK","NOT NUMERIC")</f>
        <v>OK</v>
      </c>
    </row>
    <row r="66" spans="1:16" ht="75" x14ac:dyDescent="0.25">
      <c r="A66" s="11">
        <v>2019</v>
      </c>
      <c r="B66" s="11" t="s">
        <v>20</v>
      </c>
      <c r="C66" s="11" t="s">
        <v>21</v>
      </c>
      <c r="D66" s="11" t="s">
        <v>17</v>
      </c>
      <c r="E66" s="11">
        <v>0.1</v>
      </c>
      <c r="F66" s="18">
        <v>34.840000000000003</v>
      </c>
      <c r="G66" s="11">
        <v>0.75</v>
      </c>
      <c r="H66" s="11">
        <v>0.56000000000000005</v>
      </c>
      <c r="I66" s="11">
        <v>0.04</v>
      </c>
      <c r="J66" s="11">
        <f t="shared" si="4"/>
        <v>77.402517654283088</v>
      </c>
      <c r="K66" s="17">
        <f t="shared" ref="K66:K91" si="10">AVERAGEIFS($E$2:$E$91,$D$2:$D$91,D66)</f>
        <v>6.433333333333334E-2</v>
      </c>
      <c r="L66" s="17">
        <f t="shared" ref="L66:L91" si="11">E66-K66</f>
        <v>3.5666666666666666E-2</v>
      </c>
      <c r="M66" s="17">
        <f t="shared" si="5"/>
        <v>9.6896072986909949E-3</v>
      </c>
      <c r="N66" s="17">
        <f t="shared" ref="N66:N91" si="12">J66*H66</f>
        <v>43.345409886398535</v>
      </c>
      <c r="O66" s="17" t="str">
        <f t="shared" ref="O66:O91" si="13">IF(J66&lt;=_xlfn.QUARTILE.INC($J$2:$J$91,1),"Low",IF(J66&lt;=_xlfn.QUARTILE.INC($J$2:$J$91,2),"Moderate",IF(J66&lt;=_xlfn.QUARTILE.INC($J$2:$J$91,3),"High","Top")))</f>
        <v>Top</v>
      </c>
      <c r="P66" t="str">
        <f>IF(ISNUMBER('Updated Data'!E66),"OK","NOT NUMERIC")</f>
        <v>OK</v>
      </c>
    </row>
    <row r="67" spans="1:16" ht="75" x14ac:dyDescent="0.25">
      <c r="A67" s="11">
        <v>2019</v>
      </c>
      <c r="B67" s="11" t="s">
        <v>22</v>
      </c>
      <c r="C67" s="11" t="s">
        <v>23</v>
      </c>
      <c r="D67" s="11" t="s">
        <v>17</v>
      </c>
      <c r="E67" s="11">
        <v>0.09</v>
      </c>
      <c r="F67" s="18">
        <v>24.9</v>
      </c>
      <c r="G67" s="11">
        <v>0.66</v>
      </c>
      <c r="H67" s="11">
        <v>0.66</v>
      </c>
      <c r="I67" s="11">
        <v>0.02</v>
      </c>
      <c r="J67" s="11">
        <f t="shared" ref="J67:J91" si="14">(F67-$B$95)/($B$94-$B$95)*100</f>
        <v>46.883635247159958</v>
      </c>
      <c r="K67" s="17">
        <f t="shared" si="10"/>
        <v>6.433333333333334E-2</v>
      </c>
      <c r="L67" s="17">
        <f t="shared" si="11"/>
        <v>2.5666666666666657E-2</v>
      </c>
      <c r="M67" s="17">
        <f t="shared" ref="M67:M91" si="15">G67/J67</f>
        <v>1.4077406679764246E-2</v>
      </c>
      <c r="N67" s="17">
        <f t="shared" si="12"/>
        <v>30.943199263125575</v>
      </c>
      <c r="O67" s="17" t="str">
        <f t="shared" si="13"/>
        <v>High</v>
      </c>
      <c r="P67" t="str">
        <f>IF(ISNUMBER('Updated Data'!E67),"OK","NOT NUMERIC")</f>
        <v>OK</v>
      </c>
    </row>
    <row r="68" spans="1:16" ht="60" x14ac:dyDescent="0.25">
      <c r="A68" s="11">
        <v>2019</v>
      </c>
      <c r="B68" s="11" t="s">
        <v>24</v>
      </c>
      <c r="C68" s="11" t="s">
        <v>25</v>
      </c>
      <c r="D68" s="11" t="s">
        <v>17</v>
      </c>
      <c r="E68" s="11">
        <v>0.06</v>
      </c>
      <c r="F68" s="18">
        <v>12.84</v>
      </c>
      <c r="G68" s="11">
        <v>0.43</v>
      </c>
      <c r="H68" s="11">
        <v>0.37</v>
      </c>
      <c r="I68" s="11">
        <v>0.01</v>
      </c>
      <c r="J68" s="11">
        <f t="shared" si="14"/>
        <v>9.8556954252379469</v>
      </c>
      <c r="K68" s="17">
        <f t="shared" si="10"/>
        <v>6.433333333333334E-2</v>
      </c>
      <c r="L68" s="17">
        <f t="shared" si="11"/>
        <v>-4.3333333333333418E-3</v>
      </c>
      <c r="M68" s="17">
        <f t="shared" si="15"/>
        <v>4.3629595015576332E-2</v>
      </c>
      <c r="N68" s="17">
        <f t="shared" si="12"/>
        <v>3.6466073073380403</v>
      </c>
      <c r="O68" s="17" t="str">
        <f t="shared" si="13"/>
        <v>Low</v>
      </c>
      <c r="P68" t="str">
        <f>IF(ISNUMBER('Updated Data'!E68),"OK","NOT NUMERIC")</f>
        <v>OK</v>
      </c>
    </row>
    <row r="69" spans="1:16" ht="75" x14ac:dyDescent="0.25">
      <c r="A69" s="11">
        <v>2019</v>
      </c>
      <c r="B69" s="11" t="s">
        <v>26</v>
      </c>
      <c r="C69" s="11" t="s">
        <v>27</v>
      </c>
      <c r="D69" s="11" t="s">
        <v>28</v>
      </c>
      <c r="E69" s="11">
        <v>0.05</v>
      </c>
      <c r="F69" s="18">
        <v>29.89</v>
      </c>
      <c r="G69" s="11">
        <v>0.56000000000000005</v>
      </c>
      <c r="H69" s="11">
        <v>0.25</v>
      </c>
      <c r="I69" s="11">
        <v>0.04</v>
      </c>
      <c r="J69" s="11">
        <f t="shared" si="14"/>
        <v>62.204482652747913</v>
      </c>
      <c r="K69" s="17">
        <f t="shared" si="10"/>
        <v>0.12000000000000004</v>
      </c>
      <c r="L69" s="17">
        <f t="shared" si="11"/>
        <v>-7.0000000000000034E-2</v>
      </c>
      <c r="M69" s="17">
        <f t="shared" si="15"/>
        <v>9.0025666337611079E-3</v>
      </c>
      <c r="N69" s="17">
        <f t="shared" si="12"/>
        <v>15.551120663186978</v>
      </c>
      <c r="O69" s="17" t="str">
        <f t="shared" si="13"/>
        <v>High</v>
      </c>
      <c r="P69" t="str">
        <f>IF(ISNUMBER('Updated Data'!E69),"OK","NOT NUMERIC")</f>
        <v>OK</v>
      </c>
    </row>
    <row r="70" spans="1:16" ht="60" x14ac:dyDescent="0.25">
      <c r="A70" s="11">
        <v>2019</v>
      </c>
      <c r="B70" s="11" t="s">
        <v>29</v>
      </c>
      <c r="C70" s="11" t="s">
        <v>30</v>
      </c>
      <c r="D70" s="11" t="s">
        <v>28</v>
      </c>
      <c r="E70" s="11">
        <v>0.04</v>
      </c>
      <c r="F70" s="18">
        <v>16.61</v>
      </c>
      <c r="G70" s="11">
        <v>0.24</v>
      </c>
      <c r="H70" s="11">
        <v>0.38</v>
      </c>
      <c r="I70" s="11">
        <v>0.05</v>
      </c>
      <c r="J70" s="11">
        <f t="shared" si="14"/>
        <v>21.430764507215226</v>
      </c>
      <c r="K70" s="17">
        <f t="shared" si="10"/>
        <v>0.12000000000000004</v>
      </c>
      <c r="L70" s="17">
        <f t="shared" si="11"/>
        <v>-8.0000000000000043E-2</v>
      </c>
      <c r="M70" s="17">
        <f t="shared" si="15"/>
        <v>1.1198853868194844E-2</v>
      </c>
      <c r="N70" s="17">
        <f t="shared" si="12"/>
        <v>8.1436905127417862</v>
      </c>
      <c r="O70" s="17" t="str">
        <f t="shared" si="13"/>
        <v>Low</v>
      </c>
      <c r="P70" t="str">
        <f>IF(ISNUMBER('Updated Data'!E70),"OK","NOT NUMERIC")</f>
        <v>OK</v>
      </c>
    </row>
    <row r="71" spans="1:16" ht="30" x14ac:dyDescent="0.25">
      <c r="A71" s="11">
        <v>2019</v>
      </c>
      <c r="B71" s="11" t="s">
        <v>31</v>
      </c>
      <c r="C71" s="11" t="s">
        <v>32</v>
      </c>
      <c r="D71" s="11" t="s">
        <v>33</v>
      </c>
      <c r="E71" s="11">
        <v>0.06</v>
      </c>
      <c r="F71" s="18">
        <v>35.11</v>
      </c>
      <c r="G71" s="11">
        <v>0.16</v>
      </c>
      <c r="H71" s="11">
        <v>0.41</v>
      </c>
      <c r="I71" s="11">
        <v>0.04</v>
      </c>
      <c r="J71" s="11">
        <f t="shared" si="14"/>
        <v>78.231501381639532</v>
      </c>
      <c r="K71" s="17">
        <f t="shared" si="10"/>
        <v>0.13249999999999998</v>
      </c>
      <c r="L71" s="17">
        <f t="shared" si="11"/>
        <v>-7.2499999999999981E-2</v>
      </c>
      <c r="M71" s="17">
        <f t="shared" si="15"/>
        <v>2.0452119309262171E-3</v>
      </c>
      <c r="N71" s="17">
        <f t="shared" si="12"/>
        <v>32.074915566472207</v>
      </c>
      <c r="O71" s="17" t="str">
        <f t="shared" si="13"/>
        <v>Top</v>
      </c>
      <c r="P71" t="str">
        <f>IF(ISNUMBER('Updated Data'!E71),"OK","NOT NUMERIC")</f>
        <v>OK</v>
      </c>
    </row>
    <row r="72" spans="1:16" ht="30" x14ac:dyDescent="0.25">
      <c r="A72" s="11">
        <v>2019</v>
      </c>
      <c r="B72" s="11" t="s">
        <v>34</v>
      </c>
      <c r="C72" s="11" t="s">
        <v>35</v>
      </c>
      <c r="D72" s="11" t="s">
        <v>36</v>
      </c>
      <c r="E72" s="11">
        <v>0.17</v>
      </c>
      <c r="F72" s="18">
        <v>22.36</v>
      </c>
      <c r="G72" s="11">
        <v>0.18</v>
      </c>
      <c r="H72" s="11">
        <v>0.6</v>
      </c>
      <c r="I72" s="11">
        <v>0</v>
      </c>
      <c r="J72" s="11">
        <f t="shared" si="14"/>
        <v>39.085047589806564</v>
      </c>
      <c r="K72" s="17">
        <f t="shared" si="10"/>
        <v>0.18583333333333332</v>
      </c>
      <c r="L72" s="17">
        <f t="shared" si="11"/>
        <v>-1.583333333333331E-2</v>
      </c>
      <c r="M72" s="17">
        <f t="shared" si="15"/>
        <v>4.6053417124901812E-3</v>
      </c>
      <c r="N72" s="17">
        <f t="shared" si="12"/>
        <v>23.451028553883937</v>
      </c>
      <c r="O72" s="17" t="str">
        <f t="shared" si="13"/>
        <v>Moderate</v>
      </c>
      <c r="P72" t="str">
        <f>IF(ISNUMBER('Updated Data'!E72),"OK","NOT NUMERIC")</f>
        <v>OK</v>
      </c>
    </row>
    <row r="73" spans="1:16" ht="90" x14ac:dyDescent="0.25">
      <c r="A73" s="11">
        <v>2019</v>
      </c>
      <c r="B73" s="11" t="s">
        <v>37</v>
      </c>
      <c r="C73" s="11" t="s">
        <v>38</v>
      </c>
      <c r="D73" s="11" t="s">
        <v>36</v>
      </c>
      <c r="E73" s="11">
        <v>0.24</v>
      </c>
      <c r="F73" s="18">
        <v>26.1</v>
      </c>
      <c r="G73" s="11">
        <v>0.48</v>
      </c>
      <c r="H73" s="11">
        <v>0.36</v>
      </c>
      <c r="I73" s="11">
        <v>0.08</v>
      </c>
      <c r="J73" s="11">
        <f t="shared" si="14"/>
        <v>50.56800736874424</v>
      </c>
      <c r="K73" s="17">
        <f t="shared" si="10"/>
        <v>0.18583333333333332</v>
      </c>
      <c r="L73" s="17">
        <f t="shared" si="11"/>
        <v>5.4166666666666669E-2</v>
      </c>
      <c r="M73" s="17">
        <f t="shared" si="15"/>
        <v>9.4921675774134791E-3</v>
      </c>
      <c r="N73" s="17">
        <f t="shared" si="12"/>
        <v>18.204482652747927</v>
      </c>
      <c r="O73" s="17" t="str">
        <f t="shared" si="13"/>
        <v>High</v>
      </c>
      <c r="P73" t="str">
        <f>IF(ISNUMBER('Updated Data'!E73),"OK","NOT NUMERIC")</f>
        <v>OK</v>
      </c>
    </row>
    <row r="74" spans="1:16" ht="60" x14ac:dyDescent="0.25">
      <c r="A74" s="11">
        <v>2019</v>
      </c>
      <c r="B74" s="11" t="s">
        <v>39</v>
      </c>
      <c r="C74" s="11" t="s">
        <v>40</v>
      </c>
      <c r="D74" s="11" t="s">
        <v>33</v>
      </c>
      <c r="E74" s="11">
        <v>0.14000000000000001</v>
      </c>
      <c r="F74" s="18">
        <v>13.66</v>
      </c>
      <c r="G74" s="11">
        <v>0.55000000000000004</v>
      </c>
      <c r="H74" s="11">
        <v>0.25</v>
      </c>
      <c r="I74" s="11">
        <v>0.01</v>
      </c>
      <c r="J74" s="11">
        <f t="shared" si="14"/>
        <v>12.373349708320539</v>
      </c>
      <c r="K74" s="17">
        <f t="shared" si="10"/>
        <v>0.13249999999999998</v>
      </c>
      <c r="L74" s="17">
        <f t="shared" si="11"/>
        <v>7.5000000000000344E-3</v>
      </c>
      <c r="M74" s="17">
        <f t="shared" si="15"/>
        <v>4.4450372208436735E-2</v>
      </c>
      <c r="N74" s="17">
        <f t="shared" si="12"/>
        <v>3.0933374270801348</v>
      </c>
      <c r="O74" s="17" t="str">
        <f t="shared" si="13"/>
        <v>Low</v>
      </c>
      <c r="P74" t="str">
        <f>IF(ISNUMBER('Updated Data'!E74),"OK","NOT NUMERIC")</f>
        <v>OK</v>
      </c>
    </row>
    <row r="75" spans="1:16" ht="45" x14ac:dyDescent="0.25">
      <c r="A75" s="11">
        <v>2019</v>
      </c>
      <c r="B75" s="11" t="s">
        <v>41</v>
      </c>
      <c r="C75" s="11" t="s">
        <v>42</v>
      </c>
      <c r="D75" s="11" t="s">
        <v>43</v>
      </c>
      <c r="E75" s="11">
        <v>0.06</v>
      </c>
      <c r="F75" s="18">
        <v>14.13</v>
      </c>
      <c r="G75" s="11">
        <v>0.53</v>
      </c>
      <c r="H75" s="11">
        <v>0.46</v>
      </c>
      <c r="I75" s="11">
        <v>0.02</v>
      </c>
      <c r="J75" s="11">
        <f t="shared" si="14"/>
        <v>13.81639545594105</v>
      </c>
      <c r="K75" s="17">
        <f t="shared" si="10"/>
        <v>0.10166666666666668</v>
      </c>
      <c r="L75" s="17">
        <f t="shared" si="11"/>
        <v>-4.1666666666666685E-2</v>
      </c>
      <c r="M75" s="17">
        <f t="shared" si="15"/>
        <v>3.8360222222222226E-2</v>
      </c>
      <c r="N75" s="17">
        <f t="shared" si="12"/>
        <v>6.3555419097328834</v>
      </c>
      <c r="O75" s="17" t="str">
        <f t="shared" si="13"/>
        <v>Low</v>
      </c>
      <c r="P75" t="str">
        <f>IF(ISNUMBER('Updated Data'!E75),"OK","NOT NUMERIC")</f>
        <v>OK</v>
      </c>
    </row>
    <row r="76" spans="1:16" ht="45" x14ac:dyDescent="0.25">
      <c r="A76" s="11">
        <v>2019</v>
      </c>
      <c r="B76" s="11" t="s">
        <v>44</v>
      </c>
      <c r="C76" s="11" t="s">
        <v>45</v>
      </c>
      <c r="D76" s="11" t="s">
        <v>28</v>
      </c>
      <c r="E76" s="11">
        <v>0.08</v>
      </c>
      <c r="F76" s="18">
        <v>35.229999999999997</v>
      </c>
      <c r="G76" s="11">
        <v>0.22</v>
      </c>
      <c r="H76" s="11">
        <v>0.26</v>
      </c>
      <c r="I76" s="11">
        <v>0.03</v>
      </c>
      <c r="J76" s="11">
        <f t="shared" si="14"/>
        <v>78.599938593797958</v>
      </c>
      <c r="K76" s="17">
        <f t="shared" si="10"/>
        <v>0.12000000000000004</v>
      </c>
      <c r="L76" s="17">
        <f t="shared" si="11"/>
        <v>-4.0000000000000036E-2</v>
      </c>
      <c r="M76" s="17">
        <f t="shared" si="15"/>
        <v>2.7989843750000007E-3</v>
      </c>
      <c r="N76" s="17">
        <f t="shared" si="12"/>
        <v>20.43598403438747</v>
      </c>
      <c r="O76" s="17" t="str">
        <f t="shared" si="13"/>
        <v>Top</v>
      </c>
      <c r="P76" t="str">
        <f>IF(ISNUMBER('Updated Data'!E76),"OK","NOT NUMERIC")</f>
        <v>OK</v>
      </c>
    </row>
    <row r="77" spans="1:16" ht="45" x14ac:dyDescent="0.25">
      <c r="A77" s="11">
        <v>2018</v>
      </c>
      <c r="B77" s="11" t="s">
        <v>9</v>
      </c>
      <c r="C77" s="11" t="s">
        <v>10</v>
      </c>
      <c r="D77" s="11" t="s">
        <v>11</v>
      </c>
      <c r="E77" s="11">
        <v>0.19</v>
      </c>
      <c r="F77" s="18">
        <v>16.239999999999998</v>
      </c>
      <c r="G77" s="11">
        <v>0.28999999999999998</v>
      </c>
      <c r="H77" s="11">
        <v>0.37</v>
      </c>
      <c r="I77" s="11">
        <v>0</v>
      </c>
      <c r="J77" s="11">
        <f t="shared" si="14"/>
        <v>20.294749769726735</v>
      </c>
      <c r="K77" s="17">
        <f t="shared" si="10"/>
        <v>0.15</v>
      </c>
      <c r="L77" s="17">
        <f t="shared" si="11"/>
        <v>4.0000000000000008E-2</v>
      </c>
      <c r="M77" s="17">
        <f t="shared" si="15"/>
        <v>1.4289409984871411E-2</v>
      </c>
      <c r="N77" s="17">
        <f t="shared" si="12"/>
        <v>7.5090574147988915</v>
      </c>
      <c r="O77" s="17" t="str">
        <f t="shared" si="13"/>
        <v>Low</v>
      </c>
      <c r="P77" t="str">
        <f>IF(ISNUMBER('Updated Data'!E77),"OK","NOT NUMERIC")</f>
        <v>OK</v>
      </c>
    </row>
    <row r="78" spans="1:16" ht="45" x14ac:dyDescent="0.25">
      <c r="A78" s="11">
        <v>2018</v>
      </c>
      <c r="B78" s="11" t="s">
        <v>12</v>
      </c>
      <c r="C78" s="11" t="s">
        <v>13</v>
      </c>
      <c r="D78" s="11" t="s">
        <v>14</v>
      </c>
      <c r="E78" s="11">
        <v>0.17</v>
      </c>
      <c r="F78" s="18">
        <v>16.46</v>
      </c>
      <c r="G78" s="11">
        <v>0.73</v>
      </c>
      <c r="H78" s="11">
        <v>0.11</v>
      </c>
      <c r="I78" s="11">
        <v>0.09</v>
      </c>
      <c r="J78" s="11">
        <f t="shared" si="14"/>
        <v>20.970217992017194</v>
      </c>
      <c r="K78" s="17">
        <f t="shared" si="10"/>
        <v>0.12666666666666668</v>
      </c>
      <c r="L78" s="17">
        <f t="shared" si="11"/>
        <v>4.3333333333333335E-2</v>
      </c>
      <c r="M78" s="17">
        <f t="shared" si="15"/>
        <v>3.4811273792093707E-2</v>
      </c>
      <c r="N78" s="17">
        <f t="shared" si="12"/>
        <v>2.3067239791218914</v>
      </c>
      <c r="O78" s="17" t="str">
        <f t="shared" si="13"/>
        <v>Low</v>
      </c>
      <c r="P78" t="str">
        <f>IF(ISNUMBER('Updated Data'!E78),"OK","NOT NUMERIC")</f>
        <v>OK</v>
      </c>
    </row>
    <row r="79" spans="1:16" ht="45" x14ac:dyDescent="0.25">
      <c r="A79" s="11">
        <v>2018</v>
      </c>
      <c r="B79" s="11" t="s">
        <v>15</v>
      </c>
      <c r="C79" s="11" t="s">
        <v>16</v>
      </c>
      <c r="D79" s="11" t="s">
        <v>17</v>
      </c>
      <c r="E79" s="11">
        <v>0.24</v>
      </c>
      <c r="F79" s="18">
        <v>17.48</v>
      </c>
      <c r="G79" s="11">
        <v>0.37</v>
      </c>
      <c r="H79" s="11">
        <v>0.32</v>
      </c>
      <c r="I79" s="11">
        <v>0.01</v>
      </c>
      <c r="J79" s="11">
        <f t="shared" si="14"/>
        <v>24.101934295363829</v>
      </c>
      <c r="K79" s="17">
        <f t="shared" si="10"/>
        <v>6.433333333333334E-2</v>
      </c>
      <c r="L79" s="17">
        <f t="shared" si="11"/>
        <v>0.17566666666666664</v>
      </c>
      <c r="M79" s="17">
        <f t="shared" si="15"/>
        <v>1.5351464968152867E-2</v>
      </c>
      <c r="N79" s="17">
        <f t="shared" si="12"/>
        <v>7.7126189745164258</v>
      </c>
      <c r="O79" s="17" t="str">
        <f t="shared" si="13"/>
        <v>Low</v>
      </c>
      <c r="P79" t="str">
        <f>IF(ISNUMBER('Updated Data'!E79),"OK","NOT NUMERIC")</f>
        <v>OK</v>
      </c>
    </row>
    <row r="80" spans="1:16" ht="75" x14ac:dyDescent="0.25">
      <c r="A80" s="11">
        <v>2018</v>
      </c>
      <c r="B80" s="11" t="s">
        <v>18</v>
      </c>
      <c r="C80" s="11" t="s">
        <v>19</v>
      </c>
      <c r="D80" s="11" t="s">
        <v>17</v>
      </c>
      <c r="E80" s="11">
        <v>0.15</v>
      </c>
      <c r="F80" s="18">
        <v>37.700000000000003</v>
      </c>
      <c r="G80" s="11">
        <v>0.03</v>
      </c>
      <c r="H80" s="11">
        <v>0.26</v>
      </c>
      <c r="I80" s="11">
        <v>0</v>
      </c>
      <c r="J80" s="11">
        <f t="shared" si="14"/>
        <v>86.183604544058952</v>
      </c>
      <c r="K80" s="17">
        <f t="shared" si="10"/>
        <v>6.433333333333334E-2</v>
      </c>
      <c r="L80" s="17">
        <f t="shared" si="11"/>
        <v>8.5666666666666655E-2</v>
      </c>
      <c r="M80" s="17">
        <f t="shared" si="15"/>
        <v>3.4809405058781618E-4</v>
      </c>
      <c r="N80" s="17">
        <f t="shared" si="12"/>
        <v>22.407737181455328</v>
      </c>
      <c r="O80" s="17" t="str">
        <f t="shared" si="13"/>
        <v>Top</v>
      </c>
      <c r="P80" t="str">
        <f>IF(ISNUMBER('Updated Data'!E80),"OK","NOT NUMERIC")</f>
        <v>OK</v>
      </c>
    </row>
    <row r="81" spans="1:16" ht="75" x14ac:dyDescent="0.25">
      <c r="A81" s="11">
        <v>2018</v>
      </c>
      <c r="B81" s="11" t="s">
        <v>20</v>
      </c>
      <c r="C81" s="11" t="s">
        <v>21</v>
      </c>
      <c r="D81" s="11" t="s">
        <v>17</v>
      </c>
      <c r="E81" s="11">
        <v>0.09</v>
      </c>
      <c r="F81" s="18">
        <v>38.08</v>
      </c>
      <c r="G81" s="11">
        <v>0.18</v>
      </c>
      <c r="H81" s="11">
        <v>0.34</v>
      </c>
      <c r="I81" s="11">
        <v>0.05</v>
      </c>
      <c r="J81" s="11">
        <f t="shared" si="14"/>
        <v>87.350322382560634</v>
      </c>
      <c r="K81" s="17">
        <f t="shared" si="10"/>
        <v>6.433333333333334E-2</v>
      </c>
      <c r="L81" s="17">
        <f t="shared" si="11"/>
        <v>2.5666666666666657E-2</v>
      </c>
      <c r="M81" s="17">
        <f t="shared" si="15"/>
        <v>2.0606678383128297E-3</v>
      </c>
      <c r="N81" s="17">
        <f t="shared" si="12"/>
        <v>29.699109610070618</v>
      </c>
      <c r="O81" s="17" t="str">
        <f t="shared" si="13"/>
        <v>Top</v>
      </c>
      <c r="P81" t="str">
        <f>IF(ISNUMBER('Updated Data'!E81),"OK","NOT NUMERIC")</f>
        <v>OK</v>
      </c>
    </row>
    <row r="82" spans="1:16" ht="75" x14ac:dyDescent="0.25">
      <c r="A82" s="11">
        <v>2018</v>
      </c>
      <c r="B82" s="11" t="s">
        <v>22</v>
      </c>
      <c r="C82" s="11" t="s">
        <v>23</v>
      </c>
      <c r="D82" s="11" t="s">
        <v>17</v>
      </c>
      <c r="E82" s="11">
        <v>0.14000000000000001</v>
      </c>
      <c r="F82" s="18">
        <v>31.73</v>
      </c>
      <c r="G82" s="11">
        <v>0.42</v>
      </c>
      <c r="H82" s="11">
        <v>0.17</v>
      </c>
      <c r="I82" s="11">
        <v>0.03</v>
      </c>
      <c r="J82" s="11">
        <f t="shared" si="14"/>
        <v>67.85385323917717</v>
      </c>
      <c r="K82" s="17">
        <f t="shared" si="10"/>
        <v>6.433333333333334E-2</v>
      </c>
      <c r="L82" s="17">
        <f t="shared" si="11"/>
        <v>7.5666666666666674E-2</v>
      </c>
      <c r="M82" s="17">
        <f t="shared" si="15"/>
        <v>6.1897737556561071E-3</v>
      </c>
      <c r="N82" s="17">
        <f t="shared" si="12"/>
        <v>11.535155050660119</v>
      </c>
      <c r="O82" s="17" t="str">
        <f t="shared" si="13"/>
        <v>Top</v>
      </c>
      <c r="P82" t="str">
        <f>IF(ISNUMBER('Updated Data'!E82),"OK","NOT NUMERIC")</f>
        <v>OK</v>
      </c>
    </row>
    <row r="83" spans="1:16" ht="60" x14ac:dyDescent="0.25">
      <c r="A83" s="11">
        <v>2018</v>
      </c>
      <c r="B83" s="11" t="s">
        <v>24</v>
      </c>
      <c r="C83" s="11" t="s">
        <v>25</v>
      </c>
      <c r="D83" s="11" t="s">
        <v>17</v>
      </c>
      <c r="E83" s="11">
        <v>0.06</v>
      </c>
      <c r="F83" s="18">
        <v>18.559999999999999</v>
      </c>
      <c r="G83" s="11">
        <v>0.51</v>
      </c>
      <c r="H83" s="11">
        <v>0.12</v>
      </c>
      <c r="I83" s="11">
        <v>7.0000000000000007E-2</v>
      </c>
      <c r="J83" s="11">
        <f t="shared" si="14"/>
        <v>27.417869204789682</v>
      </c>
      <c r="K83" s="17">
        <f t="shared" si="10"/>
        <v>6.433333333333334E-2</v>
      </c>
      <c r="L83" s="17">
        <f t="shared" si="11"/>
        <v>-4.3333333333333418E-3</v>
      </c>
      <c r="M83" s="17">
        <f t="shared" si="15"/>
        <v>1.8601007838745801E-2</v>
      </c>
      <c r="N83" s="17">
        <f t="shared" si="12"/>
        <v>3.2901443045747616</v>
      </c>
      <c r="O83" s="17" t="str">
        <f t="shared" si="13"/>
        <v>Moderate</v>
      </c>
      <c r="P83" t="str">
        <f>IF(ISNUMBER('Updated Data'!E83),"OK","NOT NUMERIC")</f>
        <v>OK</v>
      </c>
    </row>
    <row r="84" spans="1:16" ht="75" x14ac:dyDescent="0.25">
      <c r="A84" s="11">
        <v>2018</v>
      </c>
      <c r="B84" s="11" t="s">
        <v>26</v>
      </c>
      <c r="C84" s="11" t="s">
        <v>27</v>
      </c>
      <c r="D84" s="11" t="s">
        <v>28</v>
      </c>
      <c r="E84" s="11">
        <v>0.05</v>
      </c>
      <c r="F84" s="18">
        <v>20.73</v>
      </c>
      <c r="G84" s="11">
        <v>0.49</v>
      </c>
      <c r="H84" s="11">
        <v>0.69</v>
      </c>
      <c r="I84" s="11">
        <v>0.08</v>
      </c>
      <c r="J84" s="11">
        <f t="shared" si="14"/>
        <v>34.080442124654589</v>
      </c>
      <c r="K84" s="17">
        <f t="shared" si="10"/>
        <v>0.12000000000000004</v>
      </c>
      <c r="L84" s="17">
        <f t="shared" si="11"/>
        <v>-7.0000000000000034E-2</v>
      </c>
      <c r="M84" s="17">
        <f t="shared" si="15"/>
        <v>1.4377747747747749E-2</v>
      </c>
      <c r="N84" s="17">
        <f t="shared" si="12"/>
        <v>23.515505066011663</v>
      </c>
      <c r="O84" s="17" t="str">
        <f t="shared" si="13"/>
        <v>Moderate</v>
      </c>
      <c r="P84" t="str">
        <f>IF(ISNUMBER('Updated Data'!E84),"OK","NOT NUMERIC")</f>
        <v>OK</v>
      </c>
    </row>
    <row r="85" spans="1:16" ht="60" x14ac:dyDescent="0.25">
      <c r="A85" s="11">
        <v>2018</v>
      </c>
      <c r="B85" s="11" t="s">
        <v>29</v>
      </c>
      <c r="C85" s="11" t="s">
        <v>30</v>
      </c>
      <c r="D85" s="11" t="s">
        <v>28</v>
      </c>
      <c r="E85" s="11">
        <v>0.27</v>
      </c>
      <c r="F85" s="18">
        <v>27.06</v>
      </c>
      <c r="G85" s="11">
        <v>0.71</v>
      </c>
      <c r="H85" s="11">
        <v>0.28999999999999998</v>
      </c>
      <c r="I85" s="11">
        <v>0</v>
      </c>
      <c r="J85" s="11">
        <f t="shared" si="14"/>
        <v>53.51550506601167</v>
      </c>
      <c r="K85" s="17">
        <f t="shared" si="10"/>
        <v>0.12000000000000004</v>
      </c>
      <c r="L85" s="17">
        <f t="shared" si="11"/>
        <v>0.14999999999999997</v>
      </c>
      <c r="M85" s="17">
        <f t="shared" si="15"/>
        <v>1.3267183017785426E-2</v>
      </c>
      <c r="N85" s="17">
        <f t="shared" si="12"/>
        <v>15.519496469143384</v>
      </c>
      <c r="O85" s="17" t="str">
        <f t="shared" si="13"/>
        <v>High</v>
      </c>
      <c r="P85" t="str">
        <f>IF(ISNUMBER('Updated Data'!E85),"OK","NOT NUMERIC")</f>
        <v>OK</v>
      </c>
    </row>
    <row r="86" spans="1:16" ht="30" x14ac:dyDescent="0.25">
      <c r="A86" s="11">
        <v>2018</v>
      </c>
      <c r="B86" s="11" t="s">
        <v>31</v>
      </c>
      <c r="C86" s="11" t="s">
        <v>32</v>
      </c>
      <c r="D86" s="11" t="s">
        <v>33</v>
      </c>
      <c r="E86" s="11">
        <v>0.23</v>
      </c>
      <c r="F86" s="18">
        <v>13.53</v>
      </c>
      <c r="G86" s="11">
        <v>0.75</v>
      </c>
      <c r="H86" s="11">
        <v>0.28000000000000003</v>
      </c>
      <c r="I86" s="11">
        <v>0.01</v>
      </c>
      <c r="J86" s="11">
        <f t="shared" si="14"/>
        <v>11.974209395148906</v>
      </c>
      <c r="K86" s="17">
        <f t="shared" si="10"/>
        <v>0.13249999999999998</v>
      </c>
      <c r="L86" s="17">
        <f t="shared" si="11"/>
        <v>9.7500000000000031E-2</v>
      </c>
      <c r="M86" s="17">
        <f t="shared" si="15"/>
        <v>6.2634615384615414E-2</v>
      </c>
      <c r="N86" s="17">
        <f t="shared" si="12"/>
        <v>3.3527786306416938</v>
      </c>
      <c r="O86" s="17" t="str">
        <f t="shared" si="13"/>
        <v>Low</v>
      </c>
      <c r="P86" t="str">
        <f>IF(ISNUMBER('Updated Data'!E86),"OK","NOT NUMERIC")</f>
        <v>OK</v>
      </c>
    </row>
    <row r="87" spans="1:16" ht="30" x14ac:dyDescent="0.25">
      <c r="A87" s="11">
        <v>2018</v>
      </c>
      <c r="B87" s="11" t="s">
        <v>34</v>
      </c>
      <c r="C87" s="11" t="s">
        <v>35</v>
      </c>
      <c r="D87" s="11" t="s">
        <v>36</v>
      </c>
      <c r="E87" s="11">
        <v>0.12</v>
      </c>
      <c r="F87" s="18">
        <v>27.98</v>
      </c>
      <c r="G87" s="11">
        <v>0.72</v>
      </c>
      <c r="H87" s="11">
        <v>0.33</v>
      </c>
      <c r="I87" s="11">
        <v>0.01</v>
      </c>
      <c r="J87" s="11">
        <f t="shared" si="14"/>
        <v>56.340190359226284</v>
      </c>
      <c r="K87" s="17">
        <f t="shared" si="10"/>
        <v>0.18583333333333332</v>
      </c>
      <c r="L87" s="17">
        <f t="shared" si="11"/>
        <v>-6.5833333333333327E-2</v>
      </c>
      <c r="M87" s="17">
        <f t="shared" si="15"/>
        <v>1.277950953678474E-2</v>
      </c>
      <c r="N87" s="17">
        <f t="shared" si="12"/>
        <v>18.592262818544675</v>
      </c>
      <c r="O87" s="17" t="str">
        <f t="shared" si="13"/>
        <v>High</v>
      </c>
      <c r="P87" t="str">
        <f>IF(ISNUMBER('Updated Data'!E87),"OK","NOT NUMERIC")</f>
        <v>OK</v>
      </c>
    </row>
    <row r="88" spans="1:16" ht="90" x14ac:dyDescent="0.25">
      <c r="A88" s="11">
        <v>2018</v>
      </c>
      <c r="B88" s="11" t="s">
        <v>37</v>
      </c>
      <c r="C88" s="11" t="s">
        <v>38</v>
      </c>
      <c r="D88" s="11" t="s">
        <v>36</v>
      </c>
      <c r="E88" s="11">
        <v>0.28999999999999998</v>
      </c>
      <c r="F88" s="18">
        <v>21.55</v>
      </c>
      <c r="G88" s="11">
        <v>0.67</v>
      </c>
      <c r="H88" s="11">
        <v>0.57999999999999996</v>
      </c>
      <c r="I88" s="11">
        <v>0.06</v>
      </c>
      <c r="J88" s="11">
        <f t="shared" si="14"/>
        <v>36.598096407737181</v>
      </c>
      <c r="K88" s="17">
        <f t="shared" si="10"/>
        <v>0.18583333333333332</v>
      </c>
      <c r="L88" s="17">
        <f t="shared" si="11"/>
        <v>0.10416666666666666</v>
      </c>
      <c r="M88" s="17">
        <f t="shared" si="15"/>
        <v>1.8306963087248322E-2</v>
      </c>
      <c r="N88" s="17">
        <f t="shared" si="12"/>
        <v>21.226895916487564</v>
      </c>
      <c r="O88" s="17" t="str">
        <f t="shared" si="13"/>
        <v>Moderate</v>
      </c>
      <c r="P88" t="str">
        <f>IF(ISNUMBER('Updated Data'!E88),"OK","NOT NUMERIC")</f>
        <v>OK</v>
      </c>
    </row>
    <row r="89" spans="1:16" ht="60" x14ac:dyDescent="0.25">
      <c r="A89" s="11">
        <v>2018</v>
      </c>
      <c r="B89" s="11" t="s">
        <v>39</v>
      </c>
      <c r="C89" s="11" t="s">
        <v>40</v>
      </c>
      <c r="D89" s="11" t="s">
        <v>33</v>
      </c>
      <c r="E89" s="11">
        <v>0.21</v>
      </c>
      <c r="F89" s="18">
        <v>19.38</v>
      </c>
      <c r="G89" s="11">
        <v>0.17</v>
      </c>
      <c r="H89" s="11">
        <v>0.6</v>
      </c>
      <c r="I89" s="11">
        <v>0.05</v>
      </c>
      <c r="J89" s="11">
        <f t="shared" si="14"/>
        <v>29.935523487872267</v>
      </c>
      <c r="K89" s="17">
        <f t="shared" si="10"/>
        <v>0.13249999999999998</v>
      </c>
      <c r="L89" s="17">
        <f t="shared" si="11"/>
        <v>7.7500000000000013E-2</v>
      </c>
      <c r="M89" s="17">
        <f t="shared" si="15"/>
        <v>5.6788717948717971E-3</v>
      </c>
      <c r="N89" s="17">
        <f t="shared" si="12"/>
        <v>17.961314092723359</v>
      </c>
      <c r="O89" s="17" t="str">
        <f t="shared" si="13"/>
        <v>Moderate</v>
      </c>
      <c r="P89" t="str">
        <f>IF(ISNUMBER('Updated Data'!E89),"OK","NOT NUMERIC")</f>
        <v>OK</v>
      </c>
    </row>
    <row r="90" spans="1:16" ht="45" x14ac:dyDescent="0.25">
      <c r="A90" s="11">
        <v>2018</v>
      </c>
      <c r="B90" s="11" t="s">
        <v>41</v>
      </c>
      <c r="C90" s="11" t="s">
        <v>42</v>
      </c>
      <c r="D90" s="11" t="s">
        <v>43</v>
      </c>
      <c r="E90" s="11">
        <v>0.13</v>
      </c>
      <c r="F90" s="18">
        <v>11.61</v>
      </c>
      <c r="G90" s="11">
        <v>0.26</v>
      </c>
      <c r="H90" s="11">
        <v>0.66</v>
      </c>
      <c r="I90" s="11">
        <v>0.02</v>
      </c>
      <c r="J90" s="11">
        <f t="shared" si="14"/>
        <v>6.0792140006140576</v>
      </c>
      <c r="K90" s="17">
        <f t="shared" si="10"/>
        <v>0.10166666666666668</v>
      </c>
      <c r="L90" s="17">
        <f t="shared" si="11"/>
        <v>2.8333333333333321E-2</v>
      </c>
      <c r="M90" s="17">
        <f t="shared" si="15"/>
        <v>4.27686868686869E-2</v>
      </c>
      <c r="N90" s="17">
        <f t="shared" si="12"/>
        <v>4.0122812404052786</v>
      </c>
      <c r="O90" s="17" t="str">
        <f t="shared" si="13"/>
        <v>Low</v>
      </c>
      <c r="P90" t="str">
        <f>IF(ISNUMBER('Updated Data'!E90),"OK","NOT NUMERIC")</f>
        <v>OK</v>
      </c>
    </row>
    <row r="91" spans="1:16" ht="45" x14ac:dyDescent="0.25">
      <c r="A91" s="11">
        <v>2018</v>
      </c>
      <c r="B91" s="11" t="s">
        <v>44</v>
      </c>
      <c r="C91" s="11" t="s">
        <v>45</v>
      </c>
      <c r="D91" s="11" t="s">
        <v>28</v>
      </c>
      <c r="E91" s="11">
        <v>0.17</v>
      </c>
      <c r="F91" s="18">
        <v>35.32</v>
      </c>
      <c r="G91" s="11">
        <v>0.04</v>
      </c>
      <c r="H91" s="11">
        <v>0.25</v>
      </c>
      <c r="I91" s="11">
        <v>0.01</v>
      </c>
      <c r="J91" s="11">
        <f t="shared" si="14"/>
        <v>78.876266502916792</v>
      </c>
      <c r="K91" s="17">
        <f t="shared" si="10"/>
        <v>0.12000000000000004</v>
      </c>
      <c r="L91" s="17">
        <f t="shared" si="11"/>
        <v>4.9999999999999975E-2</v>
      </c>
      <c r="M91" s="17">
        <f t="shared" si="15"/>
        <v>5.0712339431685483E-4</v>
      </c>
      <c r="N91" s="17">
        <f t="shared" si="12"/>
        <v>19.719066625729198</v>
      </c>
      <c r="O91" s="17" t="str">
        <f t="shared" si="13"/>
        <v>Top</v>
      </c>
      <c r="P91" t="str">
        <f>IF(ISNUMBER('Updated Data'!E91),"OK","NOT NUMERIC")</f>
        <v>OK</v>
      </c>
    </row>
    <row r="92" spans="1:16" x14ac:dyDescent="0.25">
      <c r="F92" s="8"/>
    </row>
    <row r="93" spans="1:16" ht="45" x14ac:dyDescent="0.25">
      <c r="A93" s="4" t="s">
        <v>48</v>
      </c>
      <c r="B93" s="4" t="s">
        <v>49</v>
      </c>
      <c r="C93" s="7"/>
      <c r="D93" s="7"/>
      <c r="E93" s="7"/>
      <c r="F93" s="7" t="s">
        <v>55</v>
      </c>
      <c r="G93" s="23">
        <f>_xlfn.QUARTILE.INC(J2:J91,1)</f>
        <v>25.614062020264043</v>
      </c>
      <c r="H93" s="24" t="s">
        <v>58</v>
      </c>
      <c r="I93" s="30" t="s">
        <v>59</v>
      </c>
      <c r="J93" s="24" t="s">
        <v>60</v>
      </c>
      <c r="K93" s="24" t="s">
        <v>61</v>
      </c>
      <c r="L93" s="7"/>
      <c r="M93" s="7"/>
    </row>
    <row r="94" spans="1:16" x14ac:dyDescent="0.25">
      <c r="A94" s="1" t="s">
        <v>46</v>
      </c>
      <c r="B94" s="1">
        <v>42.2</v>
      </c>
      <c r="C94" s="7"/>
      <c r="D94" s="7"/>
      <c r="E94" s="7"/>
      <c r="F94" s="7" t="s">
        <v>56</v>
      </c>
      <c r="G94" s="23">
        <f>_xlfn.QUARTILE.INC(J2:J91,2)</f>
        <v>45.624808105618669</v>
      </c>
      <c r="H94" s="25" t="s">
        <v>62</v>
      </c>
      <c r="I94" s="25" t="s">
        <v>63</v>
      </c>
      <c r="J94" s="26" t="s">
        <v>64</v>
      </c>
      <c r="K94" s="25" t="s">
        <v>65</v>
      </c>
      <c r="L94" s="7"/>
      <c r="M94" s="7"/>
    </row>
    <row r="95" spans="1:16" x14ac:dyDescent="0.25">
      <c r="A95" s="1" t="s">
        <v>47</v>
      </c>
      <c r="B95" s="1">
        <v>9.6300000000000008</v>
      </c>
      <c r="C95" s="7"/>
      <c r="D95" s="7"/>
      <c r="E95" s="7"/>
      <c r="F95" s="7" t="s">
        <v>57</v>
      </c>
      <c r="G95" s="23">
        <f>_xlfn.QUARTILE.INC(J2:J91,3)</f>
        <v>66.756217377955167</v>
      </c>
      <c r="H95" s="25" t="s">
        <v>66</v>
      </c>
      <c r="I95" s="25" t="s">
        <v>67</v>
      </c>
      <c r="J95" s="26" t="s">
        <v>68</v>
      </c>
      <c r="K95" s="25" t="s">
        <v>69</v>
      </c>
      <c r="L95" s="7"/>
      <c r="M95" s="7"/>
    </row>
    <row r="96" spans="1:16" x14ac:dyDescent="0.25">
      <c r="A96" s="3"/>
      <c r="H96" s="25" t="s">
        <v>70</v>
      </c>
      <c r="I96" s="25" t="s">
        <v>78</v>
      </c>
      <c r="J96" s="26" t="s">
        <v>71</v>
      </c>
      <c r="K96" s="25" t="s">
        <v>72</v>
      </c>
      <c r="L96" s="7"/>
      <c r="M96" s="7"/>
    </row>
    <row r="97" spans="1:13" x14ac:dyDescent="0.25">
      <c r="A97" s="3"/>
      <c r="H97" s="25" t="s">
        <v>73</v>
      </c>
      <c r="I97" s="25" t="s">
        <v>74</v>
      </c>
      <c r="J97" s="26" t="s">
        <v>75</v>
      </c>
      <c r="K97" s="25" t="s">
        <v>76</v>
      </c>
      <c r="L97" s="7"/>
      <c r="M97" s="7"/>
    </row>
    <row r="99" spans="1:13" x14ac:dyDescent="0.25">
      <c r="A99" s="7" t="s">
        <v>79</v>
      </c>
      <c r="B99" s="7"/>
      <c r="C99" s="7"/>
      <c r="D99" s="7"/>
      <c r="E99" s="7"/>
      <c r="F99" s="7"/>
    </row>
    <row r="100" spans="1:13" x14ac:dyDescent="0.25">
      <c r="A100" s="7" t="s">
        <v>80</v>
      </c>
      <c r="B100" s="7"/>
      <c r="C100" s="7"/>
      <c r="D100" s="7"/>
      <c r="E100" s="7"/>
      <c r="F100" s="7"/>
    </row>
    <row r="101" spans="1:13" x14ac:dyDescent="0.25">
      <c r="A101" s="7" t="s">
        <v>81</v>
      </c>
      <c r="B101" s="7"/>
      <c r="C101" s="7"/>
      <c r="D101" s="7"/>
      <c r="E101" s="7"/>
      <c r="F10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selection activeCell="N10" sqref="N10"/>
    </sheetView>
  </sheetViews>
  <sheetFormatPr defaultRowHeight="15" x14ac:dyDescent="0.25"/>
  <cols>
    <col min="1" max="1" width="16.28515625" customWidth="1"/>
    <col min="2" max="2" width="13.28515625" customWidth="1"/>
    <col min="3" max="3" width="16.42578125" customWidth="1"/>
    <col min="5" max="5" width="11.5703125" customWidth="1"/>
    <col min="6" max="7" width="11.7109375" customWidth="1"/>
    <col min="8" max="8" width="12.140625" customWidth="1"/>
    <col min="9" max="9" width="12.28515625" customWidth="1"/>
    <col min="10" max="10" width="12" customWidth="1"/>
  </cols>
  <sheetData>
    <row r="1" spans="1:16" ht="15.75" thickBot="1" x14ac:dyDescent="0.3"/>
    <row r="2" spans="1:16" ht="45.75" thickBot="1" x14ac:dyDescent="0.3">
      <c r="A2" s="55"/>
      <c r="B2" s="66" t="s">
        <v>138</v>
      </c>
      <c r="C2" s="67" t="s">
        <v>5</v>
      </c>
      <c r="D2" s="68" t="s">
        <v>147</v>
      </c>
      <c r="E2" s="56" t="s">
        <v>7</v>
      </c>
      <c r="F2" s="57" t="s">
        <v>8</v>
      </c>
      <c r="G2" s="56" t="s">
        <v>148</v>
      </c>
      <c r="H2" s="56" t="s">
        <v>149</v>
      </c>
      <c r="I2" s="56" t="s">
        <v>150</v>
      </c>
      <c r="J2" s="69" t="s">
        <v>152</v>
      </c>
      <c r="K2" s="58" t="s">
        <v>151</v>
      </c>
    </row>
    <row r="3" spans="1:16" x14ac:dyDescent="0.25">
      <c r="A3" s="62" t="s">
        <v>138</v>
      </c>
      <c r="B3" s="53">
        <v>1</v>
      </c>
      <c r="C3" s="51"/>
      <c r="D3" s="51"/>
      <c r="E3" s="52"/>
      <c r="F3" s="51"/>
      <c r="G3" s="51"/>
      <c r="H3" s="51"/>
      <c r="I3" s="51"/>
      <c r="J3" s="51"/>
      <c r="K3" s="51"/>
    </row>
    <row r="4" spans="1:16" x14ac:dyDescent="0.25">
      <c r="A4" s="63" t="s">
        <v>5</v>
      </c>
      <c r="B4" s="54">
        <v>4.4283740958329487E-2</v>
      </c>
      <c r="C4" s="31">
        <v>1</v>
      </c>
      <c r="D4" s="31"/>
      <c r="E4" s="31"/>
      <c r="F4" s="31"/>
      <c r="G4" s="31"/>
      <c r="H4" s="31"/>
      <c r="I4" s="31"/>
      <c r="J4" s="31"/>
      <c r="K4" s="31"/>
      <c r="M4" t="s">
        <v>156</v>
      </c>
    </row>
    <row r="5" spans="1:16" x14ac:dyDescent="0.25">
      <c r="A5" s="64" t="s">
        <v>147</v>
      </c>
      <c r="B5" s="54">
        <v>0.2616426791902155</v>
      </c>
      <c r="C5" s="31">
        <v>-0.31226631983589448</v>
      </c>
      <c r="D5" s="31">
        <v>1</v>
      </c>
      <c r="E5" s="31"/>
      <c r="F5" s="31"/>
      <c r="G5" s="31"/>
      <c r="H5" s="31"/>
      <c r="I5" s="31"/>
      <c r="J5" s="31"/>
      <c r="K5" s="31"/>
      <c r="M5" t="s">
        <v>155</v>
      </c>
    </row>
    <row r="6" spans="1:16" ht="30" x14ac:dyDescent="0.25">
      <c r="A6" s="59" t="s">
        <v>7</v>
      </c>
      <c r="B6" s="54">
        <v>0.29655659770883375</v>
      </c>
      <c r="C6" s="31">
        <v>-0.23560815238902408</v>
      </c>
      <c r="D6" s="31">
        <v>0.19879759065138994</v>
      </c>
      <c r="E6" s="31">
        <v>1</v>
      </c>
      <c r="F6" s="31"/>
      <c r="G6" s="31"/>
      <c r="H6" s="31"/>
      <c r="I6" s="31"/>
      <c r="J6" s="31"/>
      <c r="K6" s="31"/>
      <c r="M6" t="s">
        <v>157</v>
      </c>
    </row>
    <row r="7" spans="1:16" x14ac:dyDescent="0.25">
      <c r="A7" s="60" t="s">
        <v>8</v>
      </c>
      <c r="B7" s="54">
        <v>-2.5478342719480244E-2</v>
      </c>
      <c r="C7" s="31">
        <v>0.19041002062022777</v>
      </c>
      <c r="D7" s="31">
        <v>-0.10096999270280708</v>
      </c>
      <c r="E7" s="31">
        <v>-1.4365888244678564E-2</v>
      </c>
      <c r="F7" s="31">
        <v>1</v>
      </c>
      <c r="G7" s="31"/>
      <c r="H7" s="31"/>
      <c r="I7" s="31"/>
      <c r="J7" s="31"/>
      <c r="K7" s="31"/>
    </row>
    <row r="8" spans="1:16" x14ac:dyDescent="0.25">
      <c r="A8" s="59" t="s">
        <v>148</v>
      </c>
      <c r="B8" s="54">
        <v>4.4283740958329515E-2</v>
      </c>
      <c r="C8" s="31">
        <v>1.0000000000000002</v>
      </c>
      <c r="D8" s="31">
        <v>-0.31226631983589459</v>
      </c>
      <c r="E8" s="31">
        <v>-0.23560815238902419</v>
      </c>
      <c r="F8" s="31">
        <v>0.19041002062022783</v>
      </c>
      <c r="G8" s="31">
        <v>1</v>
      </c>
      <c r="H8" s="31"/>
      <c r="I8" s="31"/>
      <c r="J8" s="31"/>
      <c r="K8" s="31"/>
    </row>
    <row r="9" spans="1:16" ht="30" x14ac:dyDescent="0.25">
      <c r="A9" s="59" t="s">
        <v>149</v>
      </c>
      <c r="B9" s="54">
        <v>0.4730419629630489</v>
      </c>
      <c r="C9" s="31">
        <v>2.7248923073585094E-2</v>
      </c>
      <c r="D9" s="31">
        <v>0.13609480283532233</v>
      </c>
      <c r="E9" s="31">
        <v>0.33835288214393289</v>
      </c>
      <c r="F9" s="31">
        <v>0.19911406013402422</v>
      </c>
      <c r="G9" s="31">
        <v>2.7248923073585202E-2</v>
      </c>
      <c r="H9" s="31">
        <v>1</v>
      </c>
      <c r="I9" s="31"/>
      <c r="J9" s="31"/>
      <c r="K9" s="31"/>
    </row>
    <row r="10" spans="1:16" x14ac:dyDescent="0.25">
      <c r="A10" s="59" t="s">
        <v>150</v>
      </c>
      <c r="B10" s="54">
        <v>0.88717161710923675</v>
      </c>
      <c r="C10" s="31">
        <v>3.5987241057538602E-2</v>
      </c>
      <c r="D10" s="31">
        <v>0.22566584864467323</v>
      </c>
      <c r="E10" s="31">
        <v>0.15935900039014111</v>
      </c>
      <c r="F10" s="31">
        <v>-0.13320085184916552</v>
      </c>
      <c r="G10" s="31">
        <v>3.5987241057538581E-2</v>
      </c>
      <c r="H10" s="31">
        <v>1.3122688719110867E-2</v>
      </c>
      <c r="I10" s="31">
        <v>1</v>
      </c>
      <c r="J10" s="31"/>
      <c r="K10" s="31"/>
    </row>
    <row r="11" spans="1:16" ht="30" x14ac:dyDescent="0.25">
      <c r="A11" s="65" t="s">
        <v>152</v>
      </c>
      <c r="B11" s="54">
        <v>-0.16255788633074086</v>
      </c>
      <c r="C11" s="31">
        <v>-0.37658688567057957</v>
      </c>
      <c r="D11" s="31">
        <v>0.33346875030513357</v>
      </c>
      <c r="E11" s="31">
        <v>0.11043782381178902</v>
      </c>
      <c r="F11" s="31">
        <v>-0.13035239480814831</v>
      </c>
      <c r="G11" s="31">
        <v>-0.37658688567057946</v>
      </c>
      <c r="H11" s="31">
        <v>8.8548317232786389E-2</v>
      </c>
      <c r="I11" s="31">
        <v>-0.23086762742451497</v>
      </c>
      <c r="J11" s="31">
        <v>1</v>
      </c>
      <c r="K11" s="31"/>
    </row>
    <row r="12" spans="1:16" ht="30.75" thickBot="1" x14ac:dyDescent="0.3">
      <c r="A12" s="61" t="s">
        <v>151</v>
      </c>
      <c r="B12" s="54">
        <v>0.23914992034704502</v>
      </c>
      <c r="C12" s="31">
        <v>0.73510526081705607</v>
      </c>
      <c r="D12" s="31">
        <v>-0.11004946923746702</v>
      </c>
      <c r="E12" s="31">
        <v>0.43367658222987054</v>
      </c>
      <c r="F12" s="31">
        <v>0.18642228246179035</v>
      </c>
      <c r="G12" s="31">
        <v>0.73510526081705618</v>
      </c>
      <c r="H12" s="31">
        <v>0.21619630052459857</v>
      </c>
      <c r="I12" s="31">
        <v>0.15818555996089007</v>
      </c>
      <c r="J12" s="31">
        <v>-0.33013096510375606</v>
      </c>
      <c r="K12" s="31">
        <v>1</v>
      </c>
    </row>
    <row r="14" spans="1:16" x14ac:dyDescent="0.25">
      <c r="A14" s="70" t="s">
        <v>153</v>
      </c>
      <c r="B14" s="70"/>
      <c r="C14" s="70"/>
      <c r="D14" s="70"/>
      <c r="E14" s="70"/>
      <c r="F14" s="70"/>
      <c r="G14" s="70"/>
      <c r="H14" s="70"/>
      <c r="I14" s="70"/>
      <c r="J14" s="70"/>
      <c r="K14" s="70"/>
      <c r="L14" s="70"/>
      <c r="M14" s="70"/>
      <c r="N14" s="70"/>
      <c r="O14" s="70"/>
      <c r="P14" s="70"/>
    </row>
    <row r="15" spans="1:16" x14ac:dyDescent="0.25">
      <c r="A15" s="70" t="s">
        <v>154</v>
      </c>
      <c r="B15" s="70"/>
      <c r="C15" s="70"/>
      <c r="D15" s="70"/>
      <c r="E15" s="70"/>
      <c r="F15" s="70"/>
      <c r="G15" s="70"/>
      <c r="H15" s="70"/>
      <c r="I15" s="70"/>
      <c r="J15" s="70"/>
      <c r="K15" s="70"/>
      <c r="L15" s="70"/>
      <c r="M15" s="70"/>
      <c r="N15" s="70"/>
      <c r="O15" s="70"/>
      <c r="P15" s="7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G11" sqref="G11"/>
    </sheetView>
  </sheetViews>
  <sheetFormatPr defaultRowHeight="15" x14ac:dyDescent="0.25"/>
  <cols>
    <col min="1" max="1" width="19.42578125" customWidth="1"/>
    <col min="2" max="2" width="12.7109375" customWidth="1"/>
    <col min="3" max="3" width="16.7109375" customWidth="1"/>
    <col min="4" max="4" width="12.5703125" customWidth="1"/>
    <col min="5" max="5" width="20.7109375" customWidth="1"/>
    <col min="6" max="6" width="12.85546875" customWidth="1"/>
    <col min="7" max="7" width="13.5703125" customWidth="1"/>
    <col min="8" max="8" width="13.7109375" customWidth="1"/>
    <col min="9" max="9" width="12.42578125" customWidth="1"/>
  </cols>
  <sheetData>
    <row r="1" spans="1:9" x14ac:dyDescent="0.25">
      <c r="A1" s="32" t="s">
        <v>82</v>
      </c>
    </row>
    <row r="3" spans="1:9" x14ac:dyDescent="0.25">
      <c r="A3" s="33" t="s">
        <v>83</v>
      </c>
      <c r="B3" s="33"/>
      <c r="E3" t="s">
        <v>136</v>
      </c>
      <c r="F3" t="s">
        <v>48</v>
      </c>
    </row>
    <row r="4" spans="1:9" x14ac:dyDescent="0.25">
      <c r="A4" s="37" t="s">
        <v>84</v>
      </c>
      <c r="B4" s="31">
        <v>3.4043643968756108E-2</v>
      </c>
      <c r="E4" t="s">
        <v>137</v>
      </c>
      <c r="F4" t="s">
        <v>138</v>
      </c>
    </row>
    <row r="5" spans="1:9" x14ac:dyDescent="0.25">
      <c r="A5" s="37" t="s">
        <v>85</v>
      </c>
      <c r="B5" s="31">
        <v>1.1589696946714243E-3</v>
      </c>
      <c r="E5" s="48" t="s">
        <v>139</v>
      </c>
    </row>
    <row r="6" spans="1:9" x14ac:dyDescent="0.25">
      <c r="A6" s="37" t="s">
        <v>86</v>
      </c>
      <c r="B6" s="31">
        <v>-1.0191496558798219E-2</v>
      </c>
    </row>
    <row r="7" spans="1:9" x14ac:dyDescent="0.25">
      <c r="A7" s="37" t="s">
        <v>87</v>
      </c>
      <c r="B7" s="31">
        <v>8.9335551294951659E-2</v>
      </c>
      <c r="E7" s="48" t="s">
        <v>140</v>
      </c>
    </row>
    <row r="8" spans="1:9" x14ac:dyDescent="0.25">
      <c r="A8" s="37" t="s">
        <v>88</v>
      </c>
      <c r="B8" s="31">
        <v>90</v>
      </c>
    </row>
    <row r="10" spans="1:9" x14ac:dyDescent="0.25">
      <c r="A10" s="32" t="s">
        <v>89</v>
      </c>
    </row>
    <row r="11" spans="1:9" ht="30" x14ac:dyDescent="0.25">
      <c r="A11" s="34"/>
      <c r="B11" s="34" t="s">
        <v>94</v>
      </c>
      <c r="C11" s="34" t="s">
        <v>95</v>
      </c>
      <c r="D11" s="34" t="s">
        <v>96</v>
      </c>
      <c r="E11" s="34" t="s">
        <v>97</v>
      </c>
      <c r="F11" s="35" t="s">
        <v>98</v>
      </c>
    </row>
    <row r="12" spans="1:9" x14ac:dyDescent="0.25">
      <c r="A12" s="36" t="s">
        <v>90</v>
      </c>
      <c r="B12" s="31">
        <v>1</v>
      </c>
      <c r="C12" s="31">
        <v>8.1490507367021348E-4</v>
      </c>
      <c r="D12" s="31">
        <v>8.1490507367021348E-4</v>
      </c>
      <c r="E12" s="31">
        <v>0.10210767282948814</v>
      </c>
      <c r="F12" s="31">
        <v>0.75007221493863174</v>
      </c>
    </row>
    <row r="13" spans="1:9" x14ac:dyDescent="0.25">
      <c r="A13" s="36" t="s">
        <v>91</v>
      </c>
      <c r="B13" s="31">
        <v>88</v>
      </c>
      <c r="C13" s="31">
        <v>0.70231398381521881</v>
      </c>
      <c r="D13" s="31">
        <v>7.9808407251729403E-3</v>
      </c>
      <c r="E13" s="31"/>
      <c r="F13" s="31"/>
    </row>
    <row r="14" spans="1:9" x14ac:dyDescent="0.25">
      <c r="A14" s="36" t="s">
        <v>92</v>
      </c>
      <c r="B14" s="31">
        <v>89</v>
      </c>
      <c r="C14" s="31">
        <v>0.70312888888888903</v>
      </c>
      <c r="D14" s="31"/>
      <c r="E14" s="31"/>
      <c r="F14" s="31"/>
    </row>
    <row r="16" spans="1:9" x14ac:dyDescent="0.25">
      <c r="A16" s="34"/>
      <c r="B16" s="34" t="s">
        <v>99</v>
      </c>
      <c r="C16" s="34" t="s">
        <v>87</v>
      </c>
      <c r="D16" s="34" t="s">
        <v>100</v>
      </c>
      <c r="E16" s="34" t="s">
        <v>101</v>
      </c>
      <c r="F16" s="34" t="s">
        <v>102</v>
      </c>
      <c r="G16" s="34" t="s">
        <v>103</v>
      </c>
      <c r="H16" s="34" t="s">
        <v>104</v>
      </c>
      <c r="I16" s="34" t="s">
        <v>105</v>
      </c>
    </row>
    <row r="17" spans="1:9" x14ac:dyDescent="0.25">
      <c r="A17" s="36" t="s">
        <v>93</v>
      </c>
      <c r="B17" s="31">
        <v>0.10397700884611158</v>
      </c>
      <c r="C17" s="31">
        <v>3.0096055033482765E-2</v>
      </c>
      <c r="D17" s="31">
        <v>3.4548384740270457</v>
      </c>
      <c r="E17" s="31">
        <v>8.4934445803602353E-4</v>
      </c>
      <c r="F17" s="31">
        <v>4.4167423706670102E-2</v>
      </c>
      <c r="G17" s="31">
        <v>0.16378659398555306</v>
      </c>
      <c r="H17" s="31">
        <v>4.4167423706670102E-2</v>
      </c>
      <c r="I17" s="31">
        <v>0.16378659398555306</v>
      </c>
    </row>
    <row r="18" spans="1:9" ht="30" x14ac:dyDescent="0.25">
      <c r="A18" s="49" t="s">
        <v>132</v>
      </c>
      <c r="B18" s="31">
        <v>3.68356784834101E-4</v>
      </c>
      <c r="C18" s="31">
        <v>1.1527615559727268E-3</v>
      </c>
      <c r="D18" s="31">
        <v>0.31954291234432525</v>
      </c>
      <c r="E18" s="31">
        <v>0.75007221493862586</v>
      </c>
      <c r="F18" s="31">
        <v>-1.9225145719175111E-3</v>
      </c>
      <c r="G18" s="31">
        <v>2.6592281415857132E-3</v>
      </c>
      <c r="H18" s="31">
        <v>-1.9225145719175111E-3</v>
      </c>
      <c r="I18" s="31">
        <v>2.6592281415857132E-3</v>
      </c>
    </row>
    <row r="20" spans="1:9" x14ac:dyDescent="0.25">
      <c r="A20" t="s">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zoomScaleNormal="100" workbookViewId="0">
      <selection activeCell="I10" sqref="I10"/>
    </sheetView>
  </sheetViews>
  <sheetFormatPr defaultRowHeight="15" x14ac:dyDescent="0.25"/>
  <cols>
    <col min="1" max="1" width="29.140625" customWidth="1"/>
    <col min="2" max="2" width="12.85546875" customWidth="1"/>
    <col min="3" max="3" width="14" customWidth="1"/>
    <col min="4" max="4" width="15" customWidth="1"/>
    <col min="5" max="5" width="14.140625" customWidth="1"/>
    <col min="6" max="6" width="14" customWidth="1"/>
    <col min="7" max="7" width="12.85546875" customWidth="1"/>
    <col min="8" max="8" width="13.85546875" customWidth="1"/>
    <col min="9" max="9" width="13.42578125" customWidth="1"/>
  </cols>
  <sheetData>
    <row r="1" spans="1:9" x14ac:dyDescent="0.25">
      <c r="A1" s="32" t="s">
        <v>82</v>
      </c>
    </row>
    <row r="3" spans="1:9" x14ac:dyDescent="0.25">
      <c r="A3" s="39" t="s">
        <v>83</v>
      </c>
      <c r="B3" s="39"/>
      <c r="D3" s="48" t="s">
        <v>142</v>
      </c>
    </row>
    <row r="4" spans="1:9" x14ac:dyDescent="0.25">
      <c r="A4" s="40" t="s">
        <v>84</v>
      </c>
      <c r="B4" s="31">
        <v>0.40958928361602392</v>
      </c>
    </row>
    <row r="5" spans="1:9" x14ac:dyDescent="0.25">
      <c r="A5" s="40" t="s">
        <v>85</v>
      </c>
      <c r="B5" s="31">
        <v>0.16776338125308768</v>
      </c>
      <c r="D5" s="48" t="s">
        <v>143</v>
      </c>
    </row>
    <row r="6" spans="1:9" x14ac:dyDescent="0.25">
      <c r="A6" s="40" t="s">
        <v>86</v>
      </c>
      <c r="B6" s="31">
        <v>0.1285993050767624</v>
      </c>
    </row>
    <row r="7" spans="1:9" x14ac:dyDescent="0.25">
      <c r="A7" s="40" t="s">
        <v>87</v>
      </c>
      <c r="B7" s="31">
        <v>8.2971973229246834E-2</v>
      </c>
      <c r="D7" t="s">
        <v>144</v>
      </c>
    </row>
    <row r="8" spans="1:9" x14ac:dyDescent="0.25">
      <c r="A8" s="40" t="s">
        <v>88</v>
      </c>
      <c r="B8" s="31">
        <v>90</v>
      </c>
    </row>
    <row r="10" spans="1:9" x14ac:dyDescent="0.25">
      <c r="A10" s="32" t="s">
        <v>89</v>
      </c>
    </row>
    <row r="11" spans="1:9" x14ac:dyDescent="0.25">
      <c r="A11" s="38"/>
      <c r="B11" s="41" t="s">
        <v>94</v>
      </c>
      <c r="C11" s="41" t="s">
        <v>95</v>
      </c>
      <c r="D11" s="41" t="s">
        <v>96</v>
      </c>
      <c r="E11" s="41" t="s">
        <v>97</v>
      </c>
      <c r="F11" s="42" t="s">
        <v>98</v>
      </c>
    </row>
    <row r="12" spans="1:9" x14ac:dyDescent="0.25">
      <c r="A12" s="40" t="s">
        <v>90</v>
      </c>
      <c r="B12" s="31">
        <v>4</v>
      </c>
      <c r="C12" s="31">
        <v>0.11795927985672661</v>
      </c>
      <c r="D12" s="31">
        <v>2.9489819964181652E-2</v>
      </c>
      <c r="E12" s="31">
        <v>4.2836036907338251</v>
      </c>
      <c r="F12" s="31">
        <v>3.3157168109221886E-3</v>
      </c>
    </row>
    <row r="13" spans="1:9" x14ac:dyDescent="0.25">
      <c r="A13" s="40" t="s">
        <v>91</v>
      </c>
      <c r="B13" s="31">
        <v>85</v>
      </c>
      <c r="C13" s="31">
        <v>0.58516960903216242</v>
      </c>
      <c r="D13" s="31">
        <v>6.8843483415548523E-3</v>
      </c>
      <c r="E13" s="31"/>
      <c r="F13" s="31"/>
    </row>
    <row r="14" spans="1:9" x14ac:dyDescent="0.25">
      <c r="A14" s="40" t="s">
        <v>92</v>
      </c>
      <c r="B14" s="31">
        <v>89</v>
      </c>
      <c r="C14" s="31">
        <v>0.70312888888888903</v>
      </c>
      <c r="D14" s="31"/>
      <c r="E14" s="31"/>
      <c r="F14" s="31"/>
    </row>
    <row r="16" spans="1:9" x14ac:dyDescent="0.25">
      <c r="A16" s="41"/>
      <c r="B16" s="41" t="s">
        <v>99</v>
      </c>
      <c r="C16" s="41" t="s">
        <v>87</v>
      </c>
      <c r="D16" s="41" t="s">
        <v>100</v>
      </c>
      <c r="E16" s="41" t="s">
        <v>101</v>
      </c>
      <c r="F16" s="41" t="s">
        <v>102</v>
      </c>
      <c r="G16" s="41" t="s">
        <v>103</v>
      </c>
      <c r="H16" s="41" t="s">
        <v>104</v>
      </c>
      <c r="I16" s="41" t="s">
        <v>105</v>
      </c>
    </row>
    <row r="17" spans="1:9" x14ac:dyDescent="0.25">
      <c r="A17" s="40" t="s">
        <v>93</v>
      </c>
      <c r="B17" s="31">
        <v>-3.189358407284934E-2</v>
      </c>
      <c r="C17" s="31">
        <v>4.4338988863586844E-2</v>
      </c>
      <c r="D17" s="31">
        <v>-0.71931239052322582</v>
      </c>
      <c r="E17" s="31">
        <v>0.47392148662813727</v>
      </c>
      <c r="F17" s="31">
        <v>-0.12005137268030915</v>
      </c>
      <c r="G17" s="31">
        <v>5.6264204534610465E-2</v>
      </c>
      <c r="H17" s="31">
        <v>-0.12005137268030915</v>
      </c>
      <c r="I17" s="31">
        <v>5.6264204534610465E-2</v>
      </c>
    </row>
    <row r="18" spans="1:9" x14ac:dyDescent="0.25">
      <c r="A18" s="40" t="s">
        <v>132</v>
      </c>
      <c r="B18" s="31">
        <v>2.157552538006151E-3</v>
      </c>
      <c r="C18" s="31">
        <v>1.1719421375306282E-3</v>
      </c>
      <c r="D18" s="31">
        <v>1.8410060265878649</v>
      </c>
      <c r="E18" s="31">
        <v>6.9109451368601846E-2</v>
      </c>
      <c r="F18" s="31">
        <v>-1.7258240346625748E-4</v>
      </c>
      <c r="G18" s="31">
        <v>4.4876874794785599E-3</v>
      </c>
      <c r="H18" s="31">
        <v>-1.7258240346625748E-4</v>
      </c>
      <c r="I18" s="31">
        <v>4.4876874794785599E-3</v>
      </c>
    </row>
    <row r="19" spans="1:9" x14ac:dyDescent="0.25">
      <c r="A19" s="40" t="s">
        <v>133</v>
      </c>
      <c r="B19" s="31">
        <v>8.9057277765048182E-2</v>
      </c>
      <c r="C19" s="31">
        <v>3.6130612965833336E-2</v>
      </c>
      <c r="D19" s="31">
        <v>2.4648703815034794</v>
      </c>
      <c r="E19" s="31">
        <v>1.5718844511396476E-2</v>
      </c>
      <c r="F19" s="31">
        <v>1.721993952760123E-2</v>
      </c>
      <c r="G19" s="31">
        <v>0.16089461600249513</v>
      </c>
      <c r="H19" s="31">
        <v>1.721993952760123E-2</v>
      </c>
      <c r="I19" s="31">
        <v>0.16089461600249513</v>
      </c>
    </row>
    <row r="20" spans="1:9" x14ac:dyDescent="0.25">
      <c r="A20" s="40" t="s">
        <v>134</v>
      </c>
      <c r="B20" s="31">
        <v>0.17658512667785647</v>
      </c>
      <c r="C20" s="31">
        <v>6.0301654861053142E-2</v>
      </c>
      <c r="D20" s="31">
        <v>2.9283628630879748</v>
      </c>
      <c r="E20" s="31">
        <v>4.3724778987010464E-3</v>
      </c>
      <c r="F20" s="31">
        <v>5.6689281549856502E-2</v>
      </c>
      <c r="G20" s="31">
        <v>0.29648097180585642</v>
      </c>
      <c r="H20" s="31">
        <v>5.6689281549856502E-2</v>
      </c>
      <c r="I20" s="31">
        <v>0.29648097180585642</v>
      </c>
    </row>
    <row r="21" spans="1:9" x14ac:dyDescent="0.25">
      <c r="A21" s="40" t="s">
        <v>135</v>
      </c>
      <c r="B21" s="31">
        <v>-0.14041720883386838</v>
      </c>
      <c r="C21" s="31">
        <v>0.31575174824854135</v>
      </c>
      <c r="D21" s="31">
        <v>-0.44470762113830054</v>
      </c>
      <c r="E21" s="31">
        <v>0.65766138013442366</v>
      </c>
      <c r="F21" s="31">
        <v>-0.76821627660627123</v>
      </c>
      <c r="G21" s="31">
        <v>0.48738185893853453</v>
      </c>
      <c r="H21" s="31">
        <v>-0.76821627660627123</v>
      </c>
      <c r="I21" s="31">
        <v>0.48738185893853453</v>
      </c>
    </row>
    <row r="23" spans="1:9" x14ac:dyDescent="0.25">
      <c r="A23" s="50" t="s">
        <v>145</v>
      </c>
      <c r="B23" s="50"/>
      <c r="C23" s="50"/>
      <c r="D23" s="50"/>
      <c r="E23" s="50"/>
      <c r="F23" s="50"/>
      <c r="G23" s="50"/>
      <c r="H23" s="50"/>
    </row>
    <row r="24" spans="1:9" x14ac:dyDescent="0.25">
      <c r="A24" s="50" t="s">
        <v>146</v>
      </c>
      <c r="B24" s="50"/>
      <c r="C24" s="50"/>
      <c r="D24" s="50"/>
      <c r="E24" s="50"/>
      <c r="F24" s="50"/>
      <c r="G24" s="50"/>
      <c r="H24" s="5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tabSelected="1" workbookViewId="0">
      <selection activeCell="C3" sqref="C3"/>
    </sheetView>
  </sheetViews>
  <sheetFormatPr defaultRowHeight="15" x14ac:dyDescent="0.25"/>
  <cols>
    <col min="1" max="1" width="13.140625" customWidth="1"/>
    <col min="2" max="2" width="11.140625" customWidth="1"/>
    <col min="3" max="3" width="25.7109375" bestFit="1" customWidth="1"/>
    <col min="18" max="18" width="9.140625" customWidth="1"/>
  </cols>
  <sheetData>
    <row r="3" spans="1:3" x14ac:dyDescent="0.25">
      <c r="A3" s="43" t="s">
        <v>106</v>
      </c>
      <c r="B3" t="s">
        <v>107</v>
      </c>
      <c r="C3" t="s">
        <v>115</v>
      </c>
    </row>
    <row r="4" spans="1:3" x14ac:dyDescent="0.25">
      <c r="A4" s="44" t="s">
        <v>108</v>
      </c>
      <c r="B4" s="45">
        <v>2.4300000000000002</v>
      </c>
      <c r="C4" s="45">
        <v>2.9123333333333341</v>
      </c>
    </row>
    <row r="5" spans="1:3" x14ac:dyDescent="0.25">
      <c r="A5" s="44" t="s">
        <v>109</v>
      </c>
      <c r="B5" s="45">
        <v>2.5799999999999996</v>
      </c>
      <c r="C5" s="45">
        <v>2.3814999999999995</v>
      </c>
    </row>
    <row r="6" spans="1:3" x14ac:dyDescent="0.25">
      <c r="A6" s="44" t="s">
        <v>110</v>
      </c>
      <c r="B6" s="45">
        <v>2.4900000000000007</v>
      </c>
      <c r="C6" s="45">
        <v>2.479166666666667</v>
      </c>
    </row>
    <row r="7" spans="1:3" x14ac:dyDescent="0.25">
      <c r="A7" s="44" t="s">
        <v>111</v>
      </c>
      <c r="B7" s="45">
        <v>2.68</v>
      </c>
      <c r="C7" s="45">
        <v>2.4070000000000005</v>
      </c>
    </row>
    <row r="8" spans="1:3" x14ac:dyDescent="0.25">
      <c r="A8" s="44" t="s">
        <v>112</v>
      </c>
      <c r="B8" s="45">
        <v>10.18</v>
      </c>
      <c r="C8" s="45">
        <v>10.180000000000001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
  <sheetViews>
    <sheetView workbookViewId="0">
      <selection activeCell="D14" sqref="D14"/>
    </sheetView>
  </sheetViews>
  <sheetFormatPr defaultRowHeight="15" x14ac:dyDescent="0.25"/>
  <cols>
    <col min="1" max="1" width="22.5703125" bestFit="1" customWidth="1"/>
    <col min="2" max="2" width="22.7109375" bestFit="1" customWidth="1"/>
    <col min="3" max="3" width="16" bestFit="1" customWidth="1"/>
    <col min="4" max="4" width="25.7109375" bestFit="1" customWidth="1"/>
  </cols>
  <sheetData>
    <row r="3" spans="1:4" x14ac:dyDescent="0.25">
      <c r="A3" s="43" t="s">
        <v>106</v>
      </c>
      <c r="B3" s="46" t="s">
        <v>114</v>
      </c>
      <c r="C3" t="s">
        <v>113</v>
      </c>
      <c r="D3" t="s">
        <v>115</v>
      </c>
    </row>
    <row r="4" spans="1:4" x14ac:dyDescent="0.25">
      <c r="A4" s="44" t="s">
        <v>11</v>
      </c>
      <c r="B4" s="45">
        <v>262.97206017807798</v>
      </c>
      <c r="C4" s="45">
        <v>0.24</v>
      </c>
      <c r="D4" s="45">
        <v>0.9</v>
      </c>
    </row>
    <row r="5" spans="1:4" x14ac:dyDescent="0.25">
      <c r="A5" s="44" t="s">
        <v>14</v>
      </c>
      <c r="B5" s="45">
        <v>296.80687749462692</v>
      </c>
      <c r="C5" s="45">
        <v>0.32</v>
      </c>
      <c r="D5" s="45">
        <v>0.76000000000000012</v>
      </c>
    </row>
    <row r="6" spans="1:4" x14ac:dyDescent="0.25">
      <c r="A6" s="44" t="s">
        <v>28</v>
      </c>
      <c r="B6" s="45">
        <v>1004.6668713540065</v>
      </c>
      <c r="C6" s="45">
        <v>0.75000000000000011</v>
      </c>
      <c r="D6" s="45">
        <v>2.160000000000001</v>
      </c>
    </row>
    <row r="7" spans="1:4" x14ac:dyDescent="0.25">
      <c r="A7" s="44" t="s">
        <v>17</v>
      </c>
      <c r="B7" s="45">
        <v>1292.0785999385937</v>
      </c>
      <c r="C7" s="45">
        <v>0.75000000000000022</v>
      </c>
      <c r="D7" s="45">
        <v>1.9300000000000004</v>
      </c>
    </row>
    <row r="8" spans="1:4" x14ac:dyDescent="0.25">
      <c r="A8" s="44" t="s">
        <v>36</v>
      </c>
      <c r="B8" s="45">
        <v>577.58673626036239</v>
      </c>
      <c r="C8" s="45">
        <v>0.49000000000000005</v>
      </c>
      <c r="D8" s="45">
        <v>2.23</v>
      </c>
    </row>
    <row r="9" spans="1:4" x14ac:dyDescent="0.25">
      <c r="A9" s="44" t="s">
        <v>43</v>
      </c>
      <c r="B9" s="45">
        <v>346.45379183297513</v>
      </c>
      <c r="C9" s="45">
        <v>0.13</v>
      </c>
      <c r="D9" s="45">
        <v>0.6100000000000001</v>
      </c>
    </row>
    <row r="10" spans="1:4" x14ac:dyDescent="0.25">
      <c r="A10" s="44" t="s">
        <v>33</v>
      </c>
      <c r="B10" s="45">
        <v>410.46975744550195</v>
      </c>
      <c r="C10" s="45">
        <v>0.33999999999999997</v>
      </c>
      <c r="D10" s="45">
        <v>1.59</v>
      </c>
    </row>
    <row r="11" spans="1:4" x14ac:dyDescent="0.25">
      <c r="A11" s="44" t="s">
        <v>112</v>
      </c>
      <c r="B11" s="45">
        <v>4191.0346945041447</v>
      </c>
      <c r="C11" s="45">
        <v>3.0200000000000005</v>
      </c>
      <c r="D11" s="45">
        <v>10.180000000000001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topLeftCell="A15" workbookViewId="0">
      <selection activeCell="I33" sqref="I33"/>
    </sheetView>
  </sheetViews>
  <sheetFormatPr defaultRowHeight="15" x14ac:dyDescent="0.25"/>
  <sheetData>
    <row r="1" spans="1:1" ht="18" x14ac:dyDescent="0.25">
      <c r="A1" s="47" t="s">
        <v>116</v>
      </c>
    </row>
    <row r="3" spans="1:1" x14ac:dyDescent="0.25">
      <c r="A3" t="s">
        <v>117</v>
      </c>
    </row>
    <row r="5" spans="1:1" ht="18" x14ac:dyDescent="0.25">
      <c r="A5" s="47" t="s">
        <v>118</v>
      </c>
    </row>
    <row r="7" spans="1:1" x14ac:dyDescent="0.25">
      <c r="A7" t="s">
        <v>119</v>
      </c>
    </row>
    <row r="9" spans="1:1" ht="18" x14ac:dyDescent="0.25">
      <c r="A9" s="47" t="s">
        <v>120</v>
      </c>
    </row>
    <row r="11" spans="1:1" x14ac:dyDescent="0.25">
      <c r="A11" t="s">
        <v>121</v>
      </c>
    </row>
    <row r="13" spans="1:1" ht="18" x14ac:dyDescent="0.25">
      <c r="A13" s="47" t="s">
        <v>122</v>
      </c>
    </row>
    <row r="15" spans="1:1" x14ac:dyDescent="0.25">
      <c r="A15" t="s">
        <v>123</v>
      </c>
    </row>
    <row r="17" spans="1:1" ht="18" x14ac:dyDescent="0.25">
      <c r="A17" s="47" t="s">
        <v>124</v>
      </c>
    </row>
    <row r="19" spans="1:1" x14ac:dyDescent="0.25">
      <c r="A19" t="s">
        <v>125</v>
      </c>
    </row>
    <row r="21" spans="1:1" ht="18" x14ac:dyDescent="0.25">
      <c r="A21" s="47" t="s">
        <v>126</v>
      </c>
    </row>
    <row r="23" spans="1:1" x14ac:dyDescent="0.25">
      <c r="A23" t="s">
        <v>127</v>
      </c>
    </row>
    <row r="25" spans="1:1" ht="18" x14ac:dyDescent="0.25">
      <c r="A25" s="47" t="s">
        <v>128</v>
      </c>
    </row>
    <row r="27" spans="1:1" x14ac:dyDescent="0.25">
      <c r="A27" t="s">
        <v>129</v>
      </c>
    </row>
    <row r="29" spans="1:1" ht="18" x14ac:dyDescent="0.25">
      <c r="A29" s="47" t="s">
        <v>130</v>
      </c>
    </row>
    <row r="31" spans="1:1" x14ac:dyDescent="0.25">
      <c r="A31"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Zenodo_ESG_Financial_Data</vt:lpstr>
      <vt:lpstr>Updated Data</vt:lpstr>
      <vt:lpstr>Correlation_Results</vt:lpstr>
      <vt:lpstr>Regression_ROA_ESG</vt:lpstr>
      <vt:lpstr>Regression_ROA_Mult</vt:lpstr>
      <vt:lpstr>ESG_vs_ROA_Pivot</vt:lpstr>
      <vt:lpstr>Sector_Analytics</vt:lpstr>
      <vt:lpstr>Initial Findings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2025-10-26T13:11:26Z</dcterms:created>
  <dcterms:modified xsi:type="dcterms:W3CDTF">2026-03-12T04:53:40Z</dcterms:modified>
</cp:coreProperties>
</file>